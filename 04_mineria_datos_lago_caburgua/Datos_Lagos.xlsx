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ucmcl-my.sharepoint.com/personal/raul_frugone_alu_ucm_cl/Documents/Universidad/2do Semestre 2024/Congreso SOCHE/2do Caso/Imagenes/"/>
    </mc:Choice>
  </mc:AlternateContent>
  <xr:revisionPtr revIDLastSave="163" documentId="8_{AD24195E-80F8-49FB-9C7B-CF8D25E12DA0}" xr6:coauthVersionLast="47" xr6:coauthVersionMax="47" xr10:uidLastSave="{72985BF0-BD08-4FDE-A84D-42A07AFB6B69}"/>
  <bookViews>
    <workbookView xWindow="-108" yWindow="-108" windowWidth="23256" windowHeight="13176" xr2:uid="{00000000-000D-0000-FFFF-FFFF00000000}"/>
  </bookViews>
  <sheets>
    <sheet name="DATOS LAGO CABURGUA" sheetId="1" r:id="rId1"/>
    <sheet name="DATOS LAGO CHAP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" i="2"/>
</calcChain>
</file>

<file path=xl/sharedStrings.xml><?xml version="1.0" encoding="utf-8"?>
<sst xmlns="http://schemas.openxmlformats.org/spreadsheetml/2006/main" count="158" uniqueCount="73">
  <si>
    <t>Año</t>
  </si>
  <si>
    <t>Superficie_Aproximada30deDiciembre</t>
  </si>
  <si>
    <t>Precipitacionesanuales</t>
  </si>
  <si>
    <t>TemperaturaMáximapromedioanual</t>
  </si>
  <si>
    <t>Temperaturamínimapromedio</t>
  </si>
  <si>
    <t>ANOM</t>
  </si>
  <si>
    <t>Clasificación</t>
  </si>
  <si>
    <t>AntesDespues</t>
  </si>
  <si>
    <t>YEAR_</t>
  </si>
  <si>
    <t>DATE_</t>
  </si>
  <si>
    <t>Pronosticado_Precipitacionesanuales_Modelo_1</t>
  </si>
  <si>
    <t>LCL_Precipitacionesanuales_Modelo_1</t>
  </si>
  <si>
    <t>UCL_Precipitacionesanuales_Modelo_1</t>
  </si>
  <si>
    <t>Pronosticado_TemperaturaMediaPromedio_Modelo_1</t>
  </si>
  <si>
    <t>LCL_TemperaturaMediaPromedio_Modelo_1</t>
  </si>
  <si>
    <t>UCL_TemperaturaMediaPromedio_Modelo_1</t>
  </si>
  <si>
    <t>Pronostico_Superficie</t>
  </si>
  <si>
    <t>LCL_Superficie</t>
  </si>
  <si>
    <t>UCL_Superficie</t>
  </si>
  <si>
    <t>Neutro</t>
  </si>
  <si>
    <t>Niña débil</t>
  </si>
  <si>
    <t>1984</t>
  </si>
  <si>
    <t>1985</t>
  </si>
  <si>
    <t>1986</t>
  </si>
  <si>
    <t>Niño moderado</t>
  </si>
  <si>
    <t>1987</t>
  </si>
  <si>
    <t>1988</t>
  </si>
  <si>
    <t>1989</t>
  </si>
  <si>
    <t>1990</t>
  </si>
  <si>
    <t>Niño débil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</si>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</sst>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"/>
  <sheetViews>
    <sheetView tabSelected="1" topLeftCell="A16" zoomScale="91" workbookViewId="0">
      <selection activeCell="F43" sqref="F43"/>
    </sheetView>
  </sheetViews>
  <sheetFormatPr baseColWidth="10" defaultColWidth="8.88671875" defaultRowHeight="14.4" x14ac:dyDescent="0.3"/>
  <cols>
    <col min="2" max="2" width="33.77734375" bestFit="1" customWidth="1"/>
    <col min="3" max="3" width="20.5546875" bestFit="1" customWidth="1"/>
    <col min="4" max="4" width="32.21875" bestFit="1" customWidth="1"/>
    <col min="5" max="5" width="27.109375" bestFit="1" customWidth="1"/>
    <col min="9" max="9" width="13" bestFit="1" customWidth="1"/>
    <col min="10" max="10" width="15.88671875" bestFit="1" customWidth="1"/>
    <col min="23" max="23" width="21.109375" bestFit="1" customWidth="1"/>
    <col min="26" max="26" width="18.44140625" customWidth="1"/>
    <col min="27" max="27" width="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</row>
    <row r="2" spans="1:38" x14ac:dyDescent="0.3">
      <c r="A2" s="2">
        <v>31017</v>
      </c>
      <c r="B2" s="4">
        <v>52.54</v>
      </c>
      <c r="C2" s="3">
        <v>4030.1</v>
      </c>
      <c r="D2" s="3">
        <v>22.367000000000001</v>
      </c>
      <c r="E2" s="3">
        <v>5.8000000000000003E-2</v>
      </c>
      <c r="F2" s="3">
        <v>-0.49199999999999999</v>
      </c>
      <c r="G2" t="s">
        <v>19</v>
      </c>
      <c r="H2" s="4"/>
      <c r="I2">
        <v>0</v>
      </c>
      <c r="J2" s="3"/>
      <c r="K2" s="3"/>
      <c r="L2" s="3"/>
      <c r="M2" s="4"/>
      <c r="N2" s="3"/>
      <c r="P2" s="4"/>
      <c r="Q2" s="3"/>
      <c r="R2" s="3"/>
      <c r="S2" s="3"/>
      <c r="T2" s="3"/>
      <c r="U2" s="4"/>
      <c r="V2" s="3"/>
      <c r="Z2" s="1"/>
      <c r="AA2" s="1"/>
      <c r="AB2">
        <v>1984</v>
      </c>
      <c r="AC2" t="s">
        <v>21</v>
      </c>
      <c r="AD2" s="3">
        <v>4030.1</v>
      </c>
      <c r="AE2" s="1" t="e">
        <v>#NULL!</v>
      </c>
      <c r="AF2" s="1" t="e">
        <v>#NULL!</v>
      </c>
      <c r="AG2" s="3">
        <v>10.32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</row>
    <row r="3" spans="1:38" x14ac:dyDescent="0.3">
      <c r="A3" s="2">
        <v>31382</v>
      </c>
      <c r="B3" s="4">
        <v>51.75</v>
      </c>
      <c r="C3" s="3">
        <v>2545</v>
      </c>
      <c r="D3" s="3">
        <v>23.588000000000001</v>
      </c>
      <c r="E3" s="3">
        <v>0.54200000000000004</v>
      </c>
      <c r="F3" s="3">
        <v>-0.6</v>
      </c>
      <c r="G3" t="s">
        <v>20</v>
      </c>
      <c r="H3" s="4"/>
      <c r="I3">
        <v>0</v>
      </c>
      <c r="J3" s="3"/>
      <c r="K3" s="3"/>
      <c r="L3" s="3"/>
      <c r="M3" s="4"/>
      <c r="N3" s="3"/>
      <c r="P3" s="4"/>
      <c r="Q3" s="3"/>
      <c r="R3" s="3"/>
      <c r="S3" s="3"/>
      <c r="T3" s="3"/>
      <c r="U3" s="4"/>
      <c r="V3" s="3"/>
      <c r="Z3" s="3"/>
      <c r="AA3" s="3"/>
      <c r="AB3">
        <v>1985</v>
      </c>
      <c r="AC3" t="s">
        <v>22</v>
      </c>
      <c r="AD3" s="3">
        <v>4005.0121548032475</v>
      </c>
      <c r="AE3" s="3">
        <v>2344.1983064229166</v>
      </c>
      <c r="AF3" s="3">
        <v>5665.826003183578</v>
      </c>
      <c r="AG3" s="3">
        <v>10.342407478884082</v>
      </c>
      <c r="AH3" s="3">
        <v>8.2397121290289235</v>
      </c>
      <c r="AI3" s="3">
        <v>12.445102828739241</v>
      </c>
      <c r="AJ3" s="3">
        <v>56.291175640762482</v>
      </c>
      <c r="AK3" s="3">
        <v>54.918435340801111</v>
      </c>
      <c r="AL3" s="3">
        <v>57.663915940723854</v>
      </c>
    </row>
    <row r="4" spans="1:38" x14ac:dyDescent="0.3">
      <c r="A4" s="2">
        <v>31747</v>
      </c>
      <c r="B4" s="4">
        <v>51.88</v>
      </c>
      <c r="C4" s="3">
        <v>3245.3</v>
      </c>
      <c r="D4" s="3">
        <v>22.995999999999999</v>
      </c>
      <c r="E4" s="3">
        <v>-3.3000000000000002E-2</v>
      </c>
      <c r="F4" s="3">
        <v>0.24199999999999999</v>
      </c>
      <c r="G4" t="s">
        <v>19</v>
      </c>
      <c r="H4" s="4"/>
      <c r="I4">
        <v>0</v>
      </c>
      <c r="J4" s="3"/>
      <c r="K4" s="3"/>
      <c r="L4" s="3"/>
      <c r="M4" s="4"/>
      <c r="N4" s="3"/>
      <c r="P4" s="4"/>
      <c r="Q4" s="3"/>
      <c r="R4" s="3"/>
      <c r="S4" s="3"/>
      <c r="T4" s="3"/>
      <c r="U4" s="4"/>
      <c r="V4" s="3"/>
      <c r="Z4" s="3"/>
      <c r="AA4" s="3"/>
      <c r="AB4">
        <v>1986</v>
      </c>
      <c r="AC4" t="s">
        <v>23</v>
      </c>
      <c r="AD4" s="3">
        <v>3223.8039735246025</v>
      </c>
      <c r="AE4" s="3">
        <v>1768.7505548747636</v>
      </c>
      <c r="AF4" s="3">
        <v>4678.857392174441</v>
      </c>
      <c r="AG4" s="3">
        <v>10.63109949319573</v>
      </c>
      <c r="AH4" s="3">
        <v>8.9874318033317593</v>
      </c>
      <c r="AI4" s="3">
        <v>12.274767183059701</v>
      </c>
      <c r="AJ4" s="3">
        <v>55.437386802092142</v>
      </c>
      <c r="AK4" s="3">
        <v>54.153279980083006</v>
      </c>
      <c r="AL4" s="3">
        <v>56.721493624101278</v>
      </c>
    </row>
    <row r="5" spans="1:38" x14ac:dyDescent="0.3">
      <c r="A5" s="2">
        <v>32112</v>
      </c>
      <c r="B5" s="4">
        <v>51.94</v>
      </c>
      <c r="C5" s="3">
        <v>2858</v>
      </c>
      <c r="D5" s="3">
        <v>23.629000000000001</v>
      </c>
      <c r="E5" s="3">
        <v>1.7000000000000001E-2</v>
      </c>
      <c r="F5" s="3">
        <v>1.2749999999999999</v>
      </c>
      <c r="G5" t="s">
        <v>24</v>
      </c>
      <c r="H5" s="4"/>
      <c r="I5">
        <v>0</v>
      </c>
      <c r="J5" s="3"/>
      <c r="K5" s="3"/>
      <c r="L5" s="3"/>
      <c r="M5" s="4"/>
      <c r="N5" s="3"/>
      <c r="P5" s="4"/>
      <c r="Q5" s="3"/>
      <c r="R5" s="3"/>
      <c r="S5" s="3"/>
      <c r="T5" s="3"/>
      <c r="U5" s="4"/>
      <c r="V5" s="3"/>
      <c r="Z5" s="3"/>
      <c r="AA5" s="3"/>
      <c r="AB5">
        <v>1987</v>
      </c>
      <c r="AC5" t="s">
        <v>25</v>
      </c>
      <c r="AD5" s="3">
        <v>3052.34160232264</v>
      </c>
      <c r="AE5" s="3">
        <v>1616.9370405771035</v>
      </c>
      <c r="AF5" s="3">
        <v>4487.7461640681768</v>
      </c>
      <c r="AG5" s="3">
        <v>11.094166966579678</v>
      </c>
      <c r="AH5" s="3">
        <v>9.450499276715707</v>
      </c>
      <c r="AI5" s="3">
        <v>12.737834656443649</v>
      </c>
      <c r="AJ5" s="3">
        <v>55.771103603272806</v>
      </c>
      <c r="AK5" s="3">
        <v>54.717449798725596</v>
      </c>
      <c r="AL5" s="3">
        <v>56.824757407820016</v>
      </c>
    </row>
    <row r="6" spans="1:38" x14ac:dyDescent="0.3">
      <c r="A6" s="2">
        <v>32478</v>
      </c>
      <c r="B6" s="4">
        <v>51.48</v>
      </c>
      <c r="C6" s="3">
        <v>2597</v>
      </c>
      <c r="D6" s="3">
        <v>23.704000000000001</v>
      </c>
      <c r="E6" s="3">
        <v>-0.73299999999999998</v>
      </c>
      <c r="F6" s="3">
        <v>-0.81699999999999995</v>
      </c>
      <c r="G6" t="s">
        <v>20</v>
      </c>
      <c r="H6" s="4"/>
      <c r="I6">
        <v>0</v>
      </c>
      <c r="J6" s="3"/>
      <c r="K6" s="3"/>
      <c r="L6" s="3"/>
      <c r="M6" s="4"/>
      <c r="N6" s="3"/>
      <c r="P6" s="4"/>
      <c r="Q6" s="3"/>
      <c r="R6" s="3"/>
      <c r="S6" s="3"/>
      <c r="T6" s="3"/>
      <c r="U6" s="4"/>
      <c r="V6" s="3"/>
      <c r="Z6" s="3"/>
      <c r="AA6" s="3"/>
      <c r="AB6">
        <v>1988</v>
      </c>
      <c r="AC6" t="s">
        <v>26</v>
      </c>
      <c r="AD6" s="3">
        <v>2917.3335177418335</v>
      </c>
      <c r="AE6" s="3">
        <v>1481.928955996297</v>
      </c>
      <c r="AF6" s="3">
        <v>4352.7380794873698</v>
      </c>
      <c r="AG6" s="3">
        <v>10.76564412134225</v>
      </c>
      <c r="AH6" s="3">
        <v>9.121976431478279</v>
      </c>
      <c r="AI6" s="3">
        <v>12.409311811206221</v>
      </c>
      <c r="AJ6" s="3">
        <v>55.042056024981129</v>
      </c>
      <c r="AK6" s="3">
        <v>53.988402220433919</v>
      </c>
      <c r="AL6" s="3">
        <v>56.095709829528339</v>
      </c>
    </row>
    <row r="7" spans="1:38" x14ac:dyDescent="0.3">
      <c r="A7" s="2">
        <v>32843</v>
      </c>
      <c r="B7" s="4">
        <v>51.42</v>
      </c>
      <c r="C7" s="3">
        <v>2361.4</v>
      </c>
      <c r="D7" s="3">
        <v>23.358000000000001</v>
      </c>
      <c r="E7" s="3">
        <v>9.1999999999999998E-2</v>
      </c>
      <c r="F7" s="3">
        <v>-0.60799999999999998</v>
      </c>
      <c r="G7" t="s">
        <v>20</v>
      </c>
      <c r="H7" s="4"/>
      <c r="I7">
        <v>0</v>
      </c>
      <c r="J7" s="3"/>
      <c r="K7" s="3"/>
      <c r="L7" s="3"/>
      <c r="M7" s="4"/>
      <c r="N7" s="3"/>
      <c r="P7" s="4"/>
      <c r="Q7" s="3"/>
      <c r="R7" s="3"/>
      <c r="S7" s="3"/>
      <c r="T7" s="3"/>
      <c r="U7" s="4"/>
      <c r="V7" s="3"/>
      <c r="Z7" s="3"/>
      <c r="AA7" s="3"/>
      <c r="AB7">
        <v>1989</v>
      </c>
      <c r="AC7" t="s">
        <v>27</v>
      </c>
      <c r="AD7" s="3">
        <v>2763.6016807181768</v>
      </c>
      <c r="AE7" s="3">
        <v>1328.1971189726403</v>
      </c>
      <c r="AF7" s="3">
        <v>4199.0062424637135</v>
      </c>
      <c r="AG7" s="3">
        <v>10.050125672394499</v>
      </c>
      <c r="AH7" s="3">
        <v>8.4064579825305277</v>
      </c>
      <c r="AI7" s="3">
        <v>11.69379336225847</v>
      </c>
      <c r="AJ7" s="3">
        <v>54.937282097588479</v>
      </c>
      <c r="AK7" s="3">
        <v>53.883628293041269</v>
      </c>
      <c r="AL7" s="3">
        <v>55.990935902135689</v>
      </c>
    </row>
    <row r="8" spans="1:38" x14ac:dyDescent="0.3">
      <c r="A8" s="2">
        <v>33208</v>
      </c>
      <c r="B8" s="4">
        <v>51.03</v>
      </c>
      <c r="C8" s="3">
        <v>2942</v>
      </c>
      <c r="D8" s="3">
        <v>23.85</v>
      </c>
      <c r="E8" s="3">
        <v>-0.40400000000000003</v>
      </c>
      <c r="F8" s="3">
        <v>0.308</v>
      </c>
      <c r="G8" t="s">
        <v>19</v>
      </c>
      <c r="H8" s="4"/>
      <c r="I8">
        <v>0</v>
      </c>
      <c r="J8" s="3"/>
      <c r="K8" s="3"/>
      <c r="L8" s="3"/>
      <c r="M8" s="4"/>
      <c r="N8" s="3"/>
      <c r="P8" s="4"/>
      <c r="Q8" s="3"/>
      <c r="R8" s="3"/>
      <c r="S8" s="3"/>
      <c r="T8" s="3"/>
      <c r="U8" s="4"/>
      <c r="V8" s="3"/>
      <c r="Z8" s="3"/>
      <c r="AA8" s="3"/>
      <c r="AB8">
        <v>1990</v>
      </c>
      <c r="AC8" t="s">
        <v>28</v>
      </c>
      <c r="AD8" s="3">
        <v>2493.0643449372992</v>
      </c>
      <c r="AE8" s="3">
        <v>1057.6597831917627</v>
      </c>
      <c r="AF8" s="3">
        <v>3928.468906682836</v>
      </c>
      <c r="AG8" s="3">
        <v>10.164367460614137</v>
      </c>
      <c r="AH8" s="3">
        <v>8.5206997707501664</v>
      </c>
      <c r="AI8" s="3">
        <v>11.808035150478108</v>
      </c>
      <c r="AJ8" s="3">
        <v>54.703710149483307</v>
      </c>
      <c r="AK8" s="3">
        <v>53.650056344936097</v>
      </c>
      <c r="AL8" s="3">
        <v>55.757363954030517</v>
      </c>
    </row>
    <row r="9" spans="1:38" x14ac:dyDescent="0.3">
      <c r="A9" s="2">
        <v>33573</v>
      </c>
      <c r="B9" s="4">
        <v>50.86</v>
      </c>
      <c r="C9" s="3">
        <v>3510.6</v>
      </c>
      <c r="D9" s="3">
        <v>23.733000000000001</v>
      </c>
      <c r="E9" s="3">
        <v>6.7000000000000004E-2</v>
      </c>
      <c r="F9" s="3">
        <v>0.64200000000000002</v>
      </c>
      <c r="G9" t="s">
        <v>29</v>
      </c>
      <c r="H9" s="4"/>
      <c r="I9">
        <v>0</v>
      </c>
      <c r="J9" s="3"/>
      <c r="K9" s="3"/>
      <c r="L9" s="3"/>
      <c r="M9" s="4"/>
      <c r="N9" s="3"/>
      <c r="P9" s="4"/>
      <c r="Q9" s="3"/>
      <c r="R9" s="3"/>
      <c r="S9" s="3"/>
      <c r="T9" s="3"/>
      <c r="U9" s="4"/>
      <c r="V9" s="3"/>
      <c r="Z9" s="3"/>
      <c r="AA9" s="3"/>
      <c r="AB9">
        <v>1991</v>
      </c>
      <c r="AC9" t="s">
        <v>30</v>
      </c>
      <c r="AD9" s="3">
        <v>2611.5536096178275</v>
      </c>
      <c r="AE9" s="3">
        <v>1176.149047872291</v>
      </c>
      <c r="AF9" s="3">
        <v>4046.9581713633643</v>
      </c>
      <c r="AG9" s="3">
        <v>10.288139947445204</v>
      </c>
      <c r="AH9" s="3">
        <v>8.6444722575812332</v>
      </c>
      <c r="AI9" s="3">
        <v>11.931807637309175</v>
      </c>
      <c r="AJ9" s="3">
        <v>54.488758384015135</v>
      </c>
      <c r="AK9" s="3">
        <v>53.435104579467925</v>
      </c>
      <c r="AL9" s="3">
        <v>55.542412188562345</v>
      </c>
    </row>
    <row r="10" spans="1:38" x14ac:dyDescent="0.3">
      <c r="A10" s="2">
        <v>33939</v>
      </c>
      <c r="B10" s="4">
        <v>50.87</v>
      </c>
      <c r="C10" s="3">
        <v>3761.1</v>
      </c>
      <c r="D10" s="3">
        <v>22.154</v>
      </c>
      <c r="E10" s="3">
        <v>1.5129999999999999</v>
      </c>
      <c r="F10" s="3">
        <v>0.64200000000000002</v>
      </c>
      <c r="G10" t="s">
        <v>29</v>
      </c>
      <c r="H10" s="4"/>
      <c r="I10">
        <v>0</v>
      </c>
      <c r="J10" s="3"/>
      <c r="K10" s="3"/>
      <c r="L10" s="3"/>
      <c r="M10" s="4"/>
      <c r="N10" s="3"/>
      <c r="P10" s="4"/>
      <c r="Q10" s="3"/>
      <c r="R10" s="3"/>
      <c r="S10" s="3"/>
      <c r="T10" s="3"/>
      <c r="U10" s="4"/>
      <c r="V10" s="3"/>
      <c r="Z10" s="3"/>
      <c r="AA10" s="3"/>
      <c r="AB10">
        <v>1992</v>
      </c>
      <c r="AC10" t="s">
        <v>31</v>
      </c>
      <c r="AD10" s="3">
        <v>3053.205544928438</v>
      </c>
      <c r="AE10" s="3">
        <v>1617.8009831829015</v>
      </c>
      <c r="AF10" s="3">
        <v>4488.6101066739748</v>
      </c>
      <c r="AG10" s="3">
        <v>9.8962813158898051</v>
      </c>
      <c r="AH10" s="3">
        <v>8.252613626025834</v>
      </c>
      <c r="AI10" s="3">
        <v>11.539949005753776</v>
      </c>
      <c r="AJ10" s="3">
        <v>53.919120926192136</v>
      </c>
      <c r="AK10" s="3">
        <v>52.865467121644926</v>
      </c>
      <c r="AL10" s="3">
        <v>54.972774730739346</v>
      </c>
    </row>
    <row r="11" spans="1:38" x14ac:dyDescent="0.3">
      <c r="A11" s="2">
        <v>34304</v>
      </c>
      <c r="B11" s="4">
        <v>50.85</v>
      </c>
      <c r="C11" s="3">
        <v>5191.5</v>
      </c>
      <c r="D11" s="3">
        <v>23.146000000000001</v>
      </c>
      <c r="E11" s="3">
        <v>0.45800000000000002</v>
      </c>
      <c r="F11" s="3">
        <v>0.32500000000000001</v>
      </c>
      <c r="G11" t="s">
        <v>19</v>
      </c>
      <c r="H11" s="4"/>
      <c r="I11">
        <v>0</v>
      </c>
      <c r="J11" s="3"/>
      <c r="K11" s="3"/>
      <c r="L11" s="3"/>
      <c r="M11" s="4"/>
      <c r="N11" s="3"/>
      <c r="P11" s="4"/>
      <c r="Q11" s="3"/>
      <c r="R11" s="3"/>
      <c r="S11" s="3"/>
      <c r="T11" s="3"/>
      <c r="U11" s="4"/>
      <c r="V11" s="3"/>
      <c r="Z11" s="3"/>
      <c r="AA11" s="3"/>
      <c r="AB11">
        <v>1993</v>
      </c>
      <c r="AC11" t="s">
        <v>32</v>
      </c>
      <c r="AD11" s="3">
        <v>3484.1493819658108</v>
      </c>
      <c r="AE11" s="3">
        <v>2048.7448202202741</v>
      </c>
      <c r="AF11" s="3">
        <v>4919.5539437113475</v>
      </c>
      <c r="AG11" s="3">
        <v>10.706143158283558</v>
      </c>
      <c r="AH11" s="3">
        <v>9.0624754684195867</v>
      </c>
      <c r="AI11" s="3">
        <v>12.349810848147529</v>
      </c>
      <c r="AJ11" s="3">
        <v>54.213612666614857</v>
      </c>
      <c r="AK11" s="3">
        <v>53.159958862067647</v>
      </c>
      <c r="AL11" s="3">
        <v>55.267266471162067</v>
      </c>
    </row>
    <row r="12" spans="1:38" x14ac:dyDescent="0.3">
      <c r="A12" s="2">
        <v>34669</v>
      </c>
      <c r="B12" s="4">
        <v>50.88</v>
      </c>
      <c r="C12" s="3">
        <v>3761.2</v>
      </c>
      <c r="D12" s="3">
        <v>24.1</v>
      </c>
      <c r="E12" s="3">
        <v>0.56699999999999995</v>
      </c>
      <c r="F12" s="3">
        <v>0.47499999999999998</v>
      </c>
      <c r="G12" t="s">
        <v>19</v>
      </c>
      <c r="H12" s="4"/>
      <c r="I12">
        <v>0</v>
      </c>
      <c r="J12" s="3"/>
      <c r="K12" s="3"/>
      <c r="L12" s="3"/>
      <c r="M12" s="4"/>
      <c r="N12" s="3"/>
      <c r="P12" s="4"/>
      <c r="Q12" s="3"/>
      <c r="R12" s="3"/>
      <c r="S12" s="3"/>
      <c r="T12" s="3"/>
      <c r="U12" s="4"/>
      <c r="V12" s="3"/>
      <c r="Z12" s="3"/>
      <c r="AA12" s="3"/>
      <c r="AB12">
        <v>1994</v>
      </c>
      <c r="AC12" t="s">
        <v>33</v>
      </c>
      <c r="AD12" s="3">
        <v>4304.6351447089819</v>
      </c>
      <c r="AE12" s="3">
        <v>2869.2305829634452</v>
      </c>
      <c r="AF12" s="3">
        <v>5740.0397064545186</v>
      </c>
      <c r="AG12" s="3">
        <v>10.751772745703084</v>
      </c>
      <c r="AH12" s="3">
        <v>9.108105055839113</v>
      </c>
      <c r="AI12" s="3">
        <v>12.395440435567055</v>
      </c>
      <c r="AJ12" s="3">
        <v>53.941468756986922</v>
      </c>
      <c r="AK12" s="3">
        <v>52.887814952439712</v>
      </c>
      <c r="AL12" s="3">
        <v>54.995122561534131</v>
      </c>
    </row>
    <row r="13" spans="1:38" x14ac:dyDescent="0.3">
      <c r="A13" s="2">
        <v>35034</v>
      </c>
      <c r="B13" s="4">
        <v>50.87</v>
      </c>
      <c r="C13" s="3">
        <v>3669.6</v>
      </c>
      <c r="D13" s="3">
        <v>23.283000000000001</v>
      </c>
      <c r="E13" s="3">
        <v>0.254</v>
      </c>
      <c r="F13" s="3">
        <v>-0.158</v>
      </c>
      <c r="G13" t="s">
        <v>19</v>
      </c>
      <c r="H13" s="4"/>
      <c r="I13">
        <v>0</v>
      </c>
      <c r="J13" s="3"/>
      <c r="K13" s="3"/>
      <c r="L13" s="3"/>
      <c r="M13" s="4"/>
      <c r="N13" s="3"/>
      <c r="P13" s="4"/>
      <c r="Q13" s="3"/>
      <c r="R13" s="3"/>
      <c r="S13" s="3"/>
      <c r="T13" s="3"/>
      <c r="U13" s="4"/>
      <c r="V13" s="3"/>
      <c r="Z13" s="3"/>
      <c r="AA13" s="3"/>
      <c r="AB13">
        <v>1995</v>
      </c>
      <c r="AC13" t="s">
        <v>34</v>
      </c>
      <c r="AD13" s="3">
        <v>4286.1571366046046</v>
      </c>
      <c r="AE13" s="3">
        <v>2850.7525748590679</v>
      </c>
      <c r="AF13" s="3">
        <v>5721.5616983501413</v>
      </c>
      <c r="AG13" s="3">
        <v>10.61359294839604</v>
      </c>
      <c r="AH13" s="3">
        <v>8.9699252585320686</v>
      </c>
      <c r="AI13" s="3">
        <v>12.257260638260011</v>
      </c>
      <c r="AJ13" s="3">
        <v>53.898202653435376</v>
      </c>
      <c r="AK13" s="3">
        <v>52.844548848888167</v>
      </c>
      <c r="AL13" s="3">
        <v>54.951856457982586</v>
      </c>
    </row>
    <row r="14" spans="1:38" x14ac:dyDescent="0.3">
      <c r="A14" s="2">
        <v>35400</v>
      </c>
      <c r="B14" s="4">
        <v>50.9</v>
      </c>
      <c r="C14" s="3">
        <v>2383</v>
      </c>
      <c r="D14" s="3">
        <v>23.863</v>
      </c>
      <c r="E14" s="3">
        <v>-0.125</v>
      </c>
      <c r="F14" s="3">
        <v>-0.46700000000000003</v>
      </c>
      <c r="G14" t="s">
        <v>19</v>
      </c>
      <c r="H14" s="4"/>
      <c r="I14">
        <v>0</v>
      </c>
      <c r="J14" s="3"/>
      <c r="K14" s="3"/>
      <c r="L14" s="3"/>
      <c r="M14" s="4"/>
      <c r="N14" s="3"/>
      <c r="P14" s="4"/>
      <c r="Q14" s="3"/>
      <c r="R14" s="3"/>
      <c r="S14" s="3"/>
      <c r="T14" s="3"/>
      <c r="U14" s="4"/>
      <c r="V14" s="3"/>
      <c r="Z14" s="3"/>
      <c r="AA14" s="3"/>
      <c r="AB14">
        <v>1996</v>
      </c>
      <c r="AC14" t="s">
        <v>35</v>
      </c>
      <c r="AD14" s="3">
        <v>3911.9826555580275</v>
      </c>
      <c r="AE14" s="3">
        <v>2476.5780938124908</v>
      </c>
      <c r="AF14" s="3">
        <v>5347.3872173035643</v>
      </c>
      <c r="AG14" s="3">
        <v>10.761935897056775</v>
      </c>
      <c r="AH14" s="3">
        <v>9.1182682071928038</v>
      </c>
      <c r="AI14" s="3">
        <v>12.405603586920746</v>
      </c>
      <c r="AJ14" s="3">
        <v>53.941816403734357</v>
      </c>
      <c r="AK14" s="3">
        <v>52.888162599187147</v>
      </c>
      <c r="AL14" s="3">
        <v>54.995470208281567</v>
      </c>
    </row>
    <row r="15" spans="1:38" x14ac:dyDescent="0.3">
      <c r="A15" s="2">
        <v>35765</v>
      </c>
      <c r="B15" s="4">
        <v>50.86</v>
      </c>
      <c r="C15" s="3">
        <v>4055.8</v>
      </c>
      <c r="D15" s="3">
        <v>23.675000000000001</v>
      </c>
      <c r="E15" s="3">
        <v>0.67900000000000005</v>
      </c>
      <c r="F15" s="3">
        <v>1.167</v>
      </c>
      <c r="G15" t="s">
        <v>24</v>
      </c>
      <c r="H15" s="4"/>
      <c r="I15">
        <v>0</v>
      </c>
      <c r="J15" s="3"/>
      <c r="K15" s="3"/>
      <c r="L15" s="3"/>
      <c r="M15" s="4"/>
      <c r="N15" s="3"/>
      <c r="P15" s="4"/>
      <c r="Q15" s="3"/>
      <c r="R15" s="3"/>
      <c r="S15" s="3"/>
      <c r="T15" s="3"/>
      <c r="U15" s="4"/>
      <c r="V15" s="3"/>
      <c r="Z15" s="3"/>
      <c r="AA15" s="3"/>
      <c r="AB15">
        <v>1997</v>
      </c>
      <c r="AC15" t="s">
        <v>36</v>
      </c>
      <c r="AD15" s="3">
        <v>3076.6105949926932</v>
      </c>
      <c r="AE15" s="3">
        <v>1641.2060332471567</v>
      </c>
      <c r="AF15" s="3">
        <v>4512.01515673823</v>
      </c>
      <c r="AG15" s="3">
        <v>10.957629105625482</v>
      </c>
      <c r="AH15" s="3">
        <v>9.3139614157615114</v>
      </c>
      <c r="AI15" s="3">
        <v>12.601296795489453</v>
      </c>
      <c r="AJ15" s="3">
        <v>53.968863637419162</v>
      </c>
      <c r="AK15" s="3">
        <v>52.915209832871952</v>
      </c>
      <c r="AL15" s="3">
        <v>55.022517441966372</v>
      </c>
    </row>
    <row r="16" spans="1:38" x14ac:dyDescent="0.3">
      <c r="A16" s="2">
        <v>36130</v>
      </c>
      <c r="B16" s="4">
        <v>50.75</v>
      </c>
      <c r="C16" s="3">
        <v>1712</v>
      </c>
      <c r="D16" s="3">
        <v>24.475000000000001</v>
      </c>
      <c r="E16" s="3">
        <v>0.54600000000000004</v>
      </c>
      <c r="F16" s="3">
        <v>-6.7000000000000004E-2</v>
      </c>
      <c r="G16" t="s">
        <v>19</v>
      </c>
      <c r="H16" s="4"/>
      <c r="I16">
        <v>0</v>
      </c>
      <c r="J16" s="3"/>
      <c r="K16" s="3"/>
      <c r="L16" s="3"/>
      <c r="M16" s="4"/>
      <c r="N16" s="3"/>
      <c r="P16" s="4"/>
      <c r="Q16" s="3"/>
      <c r="R16" s="3"/>
      <c r="S16" s="3"/>
      <c r="T16" s="3"/>
      <c r="U16" s="4"/>
      <c r="V16" s="3"/>
      <c r="Z16" s="3"/>
      <c r="AA16" s="3"/>
      <c r="AB16">
        <v>1998</v>
      </c>
      <c r="AC16" t="s">
        <v>37</v>
      </c>
      <c r="AD16" s="3">
        <v>3284.6835037909377</v>
      </c>
      <c r="AE16" s="3">
        <v>1849.2789420454012</v>
      </c>
      <c r="AF16" s="3">
        <v>4720.0880655364745</v>
      </c>
      <c r="AG16" s="3">
        <v>11.974195516681092</v>
      </c>
      <c r="AH16" s="3">
        <v>10.330527826817121</v>
      </c>
      <c r="AI16" s="3">
        <v>13.617863206545064</v>
      </c>
      <c r="AJ16" s="3">
        <v>53.83312398002996</v>
      </c>
      <c r="AK16" s="3">
        <v>52.77947017548275</v>
      </c>
      <c r="AL16" s="3">
        <v>54.88677778457717</v>
      </c>
    </row>
    <row r="17" spans="1:38" x14ac:dyDescent="0.3">
      <c r="A17" s="2">
        <v>36495</v>
      </c>
      <c r="B17" s="4">
        <v>50.46</v>
      </c>
      <c r="C17" s="3">
        <v>1850.2</v>
      </c>
      <c r="D17" s="3">
        <v>24.516999999999999</v>
      </c>
      <c r="E17" s="3">
        <v>1</v>
      </c>
      <c r="F17" s="3">
        <v>-1.2330000000000001</v>
      </c>
      <c r="G17" t="s">
        <v>20</v>
      </c>
      <c r="H17" s="4"/>
      <c r="I17">
        <v>0</v>
      </c>
      <c r="J17" s="3"/>
      <c r="K17" s="3"/>
      <c r="L17" s="3"/>
      <c r="M17" s="4"/>
      <c r="N17" s="3"/>
      <c r="P17" s="1"/>
      <c r="Q17" s="1"/>
      <c r="R17" s="1"/>
      <c r="S17" s="1"/>
      <c r="T17" s="1"/>
      <c r="U17" s="1"/>
      <c r="V17" s="1"/>
      <c r="Z17" s="3"/>
      <c r="AA17" s="3"/>
      <c r="AB17">
        <v>1999</v>
      </c>
      <c r="AC17" t="s">
        <v>38</v>
      </c>
      <c r="AD17" s="3">
        <v>2709.7990983386808</v>
      </c>
      <c r="AE17" s="3">
        <v>1274.3945365931443</v>
      </c>
      <c r="AF17" s="3">
        <v>4145.2036600842175</v>
      </c>
      <c r="AG17" s="3">
        <v>10.759169337482325</v>
      </c>
      <c r="AH17" s="3">
        <v>9.1155016476183537</v>
      </c>
      <c r="AI17" s="3">
        <v>12.402837027346296</v>
      </c>
      <c r="AJ17" s="3">
        <v>53.49035804112232</v>
      </c>
      <c r="AK17" s="3">
        <v>52.43670423657511</v>
      </c>
      <c r="AL17" s="3">
        <v>54.54401184566953</v>
      </c>
    </row>
    <row r="18" spans="1:38" x14ac:dyDescent="0.3">
      <c r="A18" s="2">
        <v>36861</v>
      </c>
      <c r="B18" s="4">
        <v>50.79</v>
      </c>
      <c r="C18" s="3">
        <v>2486.9</v>
      </c>
      <c r="D18" s="3">
        <v>23.071000000000002</v>
      </c>
      <c r="E18" s="3">
        <v>-0.35799999999999998</v>
      </c>
      <c r="F18" s="3">
        <v>-0.82499999999999996</v>
      </c>
      <c r="G18" t="s">
        <v>20</v>
      </c>
      <c r="H18" s="4"/>
      <c r="I18">
        <v>0</v>
      </c>
      <c r="J18" s="3"/>
      <c r="K18" s="3"/>
      <c r="L18" s="3"/>
      <c r="M18" s="4"/>
      <c r="N18" s="3"/>
      <c r="P18" s="1"/>
      <c r="Q18" s="1"/>
      <c r="R18" s="1"/>
      <c r="S18" s="1"/>
      <c r="T18" s="1"/>
      <c r="U18" s="1"/>
      <c r="V18" s="1"/>
      <c r="Z18" s="3"/>
      <c r="AA18" s="3"/>
      <c r="AB18">
        <v>2000</v>
      </c>
      <c r="AC18" t="s">
        <v>39</v>
      </c>
      <c r="AD18" s="3">
        <v>2113.2645078258879</v>
      </c>
      <c r="AE18" s="3">
        <v>677.85994608035139</v>
      </c>
      <c r="AF18" s="3">
        <v>3548.6690695714242</v>
      </c>
      <c r="AG18" s="3">
        <v>10.165815225339589</v>
      </c>
      <c r="AH18" s="3">
        <v>8.522147535475618</v>
      </c>
      <c r="AI18" s="3">
        <v>11.80948291520356</v>
      </c>
      <c r="AJ18" s="3">
        <v>53.316282411366537</v>
      </c>
      <c r="AK18" s="3">
        <v>52.262628606819327</v>
      </c>
      <c r="AL18" s="3">
        <v>54.369936215913746</v>
      </c>
    </row>
    <row r="19" spans="1:38" x14ac:dyDescent="0.3">
      <c r="A19" s="2">
        <v>37226</v>
      </c>
      <c r="B19" s="4">
        <v>52.6</v>
      </c>
      <c r="C19" s="3">
        <v>2033.2</v>
      </c>
      <c r="D19" s="3">
        <v>23.975000000000001</v>
      </c>
      <c r="E19" s="3">
        <v>-0.85399999999999998</v>
      </c>
      <c r="F19" s="3">
        <v>-0.3</v>
      </c>
      <c r="G19" t="s">
        <v>19</v>
      </c>
      <c r="H19" s="4"/>
      <c r="I19">
        <v>0</v>
      </c>
      <c r="J19" s="3"/>
      <c r="K19" s="3"/>
      <c r="L19" s="3"/>
      <c r="M19" s="4"/>
      <c r="N19" s="3"/>
      <c r="P19" s="1"/>
      <c r="Q19" s="1"/>
      <c r="R19" s="1"/>
      <c r="S19" s="1"/>
      <c r="T19" s="1"/>
      <c r="U19" s="1"/>
      <c r="V19" s="1"/>
      <c r="Z19" s="3"/>
      <c r="AA19" s="3"/>
      <c r="AB19">
        <v>2001</v>
      </c>
      <c r="AC19" t="s">
        <v>40</v>
      </c>
      <c r="AD19" s="3">
        <v>2063.7545405313936</v>
      </c>
      <c r="AE19" s="3">
        <v>628.34997878585705</v>
      </c>
      <c r="AF19" s="3">
        <v>3499.1591022769298</v>
      </c>
      <c r="AG19" s="3">
        <v>10.10220588986221</v>
      </c>
      <c r="AH19" s="3">
        <v>8.4585381999982392</v>
      </c>
      <c r="AI19" s="3">
        <v>11.745873579726181</v>
      </c>
      <c r="AJ19" s="3">
        <v>56.490553447736183</v>
      </c>
      <c r="AK19" s="3">
        <v>55.436899643188973</v>
      </c>
      <c r="AL19" s="3">
        <v>57.544207252283393</v>
      </c>
    </row>
    <row r="20" spans="1:38" x14ac:dyDescent="0.3">
      <c r="A20" s="2">
        <v>37591</v>
      </c>
      <c r="B20" s="4">
        <v>51.78</v>
      </c>
      <c r="C20" s="3">
        <v>2610.8000000000002</v>
      </c>
      <c r="D20" s="3">
        <v>23.038</v>
      </c>
      <c r="E20" s="3">
        <v>-2.1000000000000001E-2</v>
      </c>
      <c r="F20" s="3">
        <v>0.63300000000000001</v>
      </c>
      <c r="G20" t="s">
        <v>29</v>
      </c>
      <c r="H20" s="4"/>
      <c r="I20">
        <v>0</v>
      </c>
      <c r="J20" s="3"/>
      <c r="K20" s="3"/>
      <c r="L20" s="3"/>
      <c r="M20" s="4"/>
      <c r="N20" s="3"/>
      <c r="P20" s="1"/>
      <c r="Q20" s="1"/>
      <c r="R20" s="1"/>
      <c r="S20" s="1"/>
      <c r="T20" s="1"/>
      <c r="U20" s="1"/>
      <c r="V20" s="1"/>
      <c r="Z20" s="3"/>
      <c r="AA20" s="3"/>
      <c r="AB20">
        <v>2002</v>
      </c>
      <c r="AC20" t="s">
        <v>41</v>
      </c>
      <c r="AD20" s="3">
        <v>2140.2056946053531</v>
      </c>
      <c r="AE20" s="3">
        <v>704.80113285981656</v>
      </c>
      <c r="AF20" s="3">
        <v>3575.6102563508894</v>
      </c>
      <c r="AG20" s="3">
        <v>10.367622683948778</v>
      </c>
      <c r="AH20" s="3">
        <v>8.7239549940848065</v>
      </c>
      <c r="AI20" s="3">
        <v>12.011290373812749</v>
      </c>
      <c r="AJ20" s="3">
        <v>56.092668537840289</v>
      </c>
      <c r="AK20" s="3">
        <v>55.039014733293079</v>
      </c>
      <c r="AL20" s="3">
        <v>57.146322342387499</v>
      </c>
    </row>
    <row r="21" spans="1:38" x14ac:dyDescent="0.3">
      <c r="A21" s="2">
        <v>37956</v>
      </c>
      <c r="B21" s="4">
        <v>53.11</v>
      </c>
      <c r="C21" s="3">
        <v>2285.5</v>
      </c>
      <c r="D21" s="3">
        <v>23.779</v>
      </c>
      <c r="E21" s="3">
        <v>-0.52900000000000003</v>
      </c>
      <c r="F21" s="3">
        <v>0.25800000000000001</v>
      </c>
      <c r="G21" t="s">
        <v>19</v>
      </c>
      <c r="H21" s="4"/>
      <c r="I21">
        <v>0</v>
      </c>
      <c r="J21" s="3"/>
      <c r="K21" s="3"/>
      <c r="L21" s="3"/>
      <c r="M21" s="4"/>
      <c r="N21" s="3"/>
      <c r="P21" s="1"/>
      <c r="Q21" s="1"/>
      <c r="R21" s="1"/>
      <c r="S21" s="1"/>
      <c r="T21" s="1"/>
      <c r="U21" s="1"/>
      <c r="V21" s="1"/>
      <c r="Z21" s="3"/>
      <c r="AA21" s="3"/>
      <c r="AB21">
        <v>2003</v>
      </c>
      <c r="AC21" t="s">
        <v>42</v>
      </c>
      <c r="AD21" s="3">
        <v>2317.7582580377716</v>
      </c>
      <c r="AE21" s="3">
        <v>882.3536962922351</v>
      </c>
      <c r="AF21" s="3">
        <v>3753.1628197833079</v>
      </c>
      <c r="AG21" s="3">
        <v>10.595394479748609</v>
      </c>
      <c r="AH21" s="3">
        <v>8.9517267898846384</v>
      </c>
      <c r="AI21" s="3">
        <v>12.239062169612581</v>
      </c>
      <c r="AJ21" s="3">
        <v>56.261891601475966</v>
      </c>
      <c r="AK21" s="3">
        <v>55.208237796928756</v>
      </c>
      <c r="AL21" s="3">
        <v>57.315545406023176</v>
      </c>
    </row>
    <row r="22" spans="1:38" x14ac:dyDescent="0.3">
      <c r="A22" s="2">
        <v>38322</v>
      </c>
      <c r="B22" s="4">
        <v>52.78</v>
      </c>
      <c r="C22" s="3">
        <v>2322.3000000000002</v>
      </c>
      <c r="D22" s="3">
        <v>24.178999999999998</v>
      </c>
      <c r="E22" s="3">
        <v>6.7000000000000004E-2</v>
      </c>
      <c r="F22" s="3">
        <v>0.45800000000000002</v>
      </c>
      <c r="G22" t="s">
        <v>19</v>
      </c>
      <c r="H22" s="4"/>
      <c r="I22">
        <v>0</v>
      </c>
      <c r="J22" s="3"/>
      <c r="K22" s="3"/>
      <c r="L22" s="3"/>
      <c r="M22" s="4"/>
      <c r="N22" s="3"/>
      <c r="P22" s="1"/>
      <c r="Q22" s="1"/>
      <c r="R22" s="1"/>
      <c r="S22" s="1"/>
      <c r="T22" s="1"/>
      <c r="U22" s="1"/>
      <c r="V22" s="1"/>
      <c r="Z22" s="3"/>
      <c r="AA22" s="3"/>
      <c r="AB22">
        <v>2004</v>
      </c>
      <c r="AC22" t="s">
        <v>43</v>
      </c>
      <c r="AD22" s="3">
        <v>2330.1431463861459</v>
      </c>
      <c r="AE22" s="3">
        <v>894.73858464060936</v>
      </c>
      <c r="AF22" s="3">
        <v>3765.5477081316822</v>
      </c>
      <c r="AG22" s="3">
        <v>11.522763212457672</v>
      </c>
      <c r="AH22" s="3">
        <v>9.8790955225937012</v>
      </c>
      <c r="AI22" s="3">
        <v>13.166430902321643</v>
      </c>
      <c r="AJ22" s="3">
        <v>56.348494995907352</v>
      </c>
      <c r="AK22" s="3">
        <v>55.294841191360142</v>
      </c>
      <c r="AL22" s="3">
        <v>57.402148800454562</v>
      </c>
    </row>
    <row r="23" spans="1:38" x14ac:dyDescent="0.3">
      <c r="A23" s="2">
        <v>38687</v>
      </c>
      <c r="B23" s="4">
        <v>52.92</v>
      </c>
      <c r="C23" s="3">
        <v>2621.7</v>
      </c>
      <c r="D23" s="3">
        <v>22.007999999999999</v>
      </c>
      <c r="E23" s="3">
        <v>-0.42499999999999999</v>
      </c>
      <c r="F23" s="3">
        <v>3.3000000000000002E-2</v>
      </c>
      <c r="G23" t="s">
        <v>19</v>
      </c>
      <c r="H23" s="4"/>
      <c r="I23">
        <v>0</v>
      </c>
      <c r="J23" s="3"/>
      <c r="K23" s="3"/>
      <c r="L23" s="3"/>
      <c r="M23" s="4"/>
      <c r="N23" s="3"/>
      <c r="P23" s="1"/>
      <c r="Q23" s="1"/>
      <c r="R23" s="1"/>
      <c r="S23" s="1"/>
      <c r="T23" s="1"/>
      <c r="U23" s="1"/>
      <c r="V23" s="1"/>
      <c r="Z23" s="1"/>
      <c r="AA23" s="1"/>
      <c r="AB23">
        <v>2005</v>
      </c>
      <c r="AC23" t="s">
        <v>44</v>
      </c>
      <c r="AD23" s="3">
        <v>2311.6584663299709</v>
      </c>
      <c r="AE23" s="3">
        <v>876.25390458443439</v>
      </c>
      <c r="AF23" s="3">
        <v>3747.0630280755076</v>
      </c>
      <c r="AG23" s="3">
        <v>11.094196356616798</v>
      </c>
      <c r="AH23" s="3">
        <v>9.4505286667528274</v>
      </c>
      <c r="AI23" s="3">
        <v>12.73786404648077</v>
      </c>
      <c r="AJ23" s="3">
        <v>55.643669331166429</v>
      </c>
      <c r="AK23" s="3">
        <v>54.590015526619219</v>
      </c>
      <c r="AL23" s="3">
        <v>56.697323135713638</v>
      </c>
    </row>
    <row r="24" spans="1:38" x14ac:dyDescent="0.3">
      <c r="A24" s="2">
        <v>39052</v>
      </c>
      <c r="B24" s="4">
        <v>53.27</v>
      </c>
      <c r="C24" s="3">
        <v>2606.8000000000002</v>
      </c>
      <c r="D24" s="3">
        <v>23.721</v>
      </c>
      <c r="E24" s="3">
        <v>-0.438</v>
      </c>
      <c r="F24" s="3">
        <v>5.8000000000000003E-2</v>
      </c>
      <c r="G24" t="s">
        <v>19</v>
      </c>
      <c r="H24" s="4"/>
      <c r="I24">
        <v>0</v>
      </c>
      <c r="J24" s="3"/>
      <c r="K24" s="3"/>
      <c r="L24" s="3"/>
      <c r="M24" s="4"/>
      <c r="N24" s="3"/>
      <c r="P24" s="1"/>
      <c r="Q24" s="1"/>
      <c r="R24" s="1"/>
      <c r="S24" s="1"/>
      <c r="T24" s="1"/>
      <c r="U24" s="1"/>
      <c r="V24" s="1"/>
      <c r="Z24" s="3"/>
      <c r="AA24" s="3"/>
      <c r="AB24">
        <v>2006</v>
      </c>
      <c r="AC24" t="s">
        <v>45</v>
      </c>
      <c r="AD24" s="3">
        <v>2404.4133879326514</v>
      </c>
      <c r="AE24" s="3">
        <v>969.00882618711489</v>
      </c>
      <c r="AF24" s="3">
        <v>3839.8179496781877</v>
      </c>
      <c r="AG24" s="3">
        <v>11.11438687262058</v>
      </c>
      <c r="AH24" s="3">
        <v>9.4707191827566088</v>
      </c>
      <c r="AI24" s="3">
        <v>12.758054562484551</v>
      </c>
      <c r="AJ24" s="3">
        <v>56.289007585822226</v>
      </c>
      <c r="AK24" s="3">
        <v>55.235353781275016</v>
      </c>
      <c r="AL24" s="3">
        <v>57.342661390369436</v>
      </c>
    </row>
    <row r="25" spans="1:38" x14ac:dyDescent="0.3">
      <c r="A25" s="2">
        <v>39417</v>
      </c>
      <c r="B25" s="4">
        <v>52.48</v>
      </c>
      <c r="C25" s="3">
        <v>1887.4</v>
      </c>
      <c r="D25" s="3">
        <v>24.404</v>
      </c>
      <c r="E25" s="3">
        <v>-1.708</v>
      </c>
      <c r="F25" s="3">
        <v>-0.60799999999999998</v>
      </c>
      <c r="G25" t="s">
        <v>20</v>
      </c>
      <c r="H25" s="4"/>
      <c r="I25">
        <v>0</v>
      </c>
      <c r="J25" s="3"/>
      <c r="K25" s="3"/>
      <c r="L25" s="3"/>
      <c r="M25" s="4"/>
      <c r="N25" s="3"/>
      <c r="P25" s="1"/>
      <c r="Q25" s="1"/>
      <c r="R25" s="1"/>
      <c r="S25" s="1"/>
      <c r="T25" s="1"/>
      <c r="U25" s="1"/>
      <c r="V25" s="1"/>
      <c r="Z25" s="3"/>
      <c r="AA25" s="3"/>
      <c r="AB25">
        <v>2007</v>
      </c>
      <c r="AC25" t="s">
        <v>46</v>
      </c>
      <c r="AD25" s="3">
        <v>2522.8498860571963</v>
      </c>
      <c r="AE25" s="3">
        <v>1087.4453243116598</v>
      </c>
      <c r="AF25" s="3">
        <v>3958.254447802733</v>
      </c>
      <c r="AG25" s="3">
        <v>10.555359112820048</v>
      </c>
      <c r="AH25" s="3">
        <v>8.9116914229560766</v>
      </c>
      <c r="AI25" s="3">
        <v>12.199026802684019</v>
      </c>
      <c r="AJ25" s="3">
        <v>56.028831633137273</v>
      </c>
      <c r="AK25" s="3">
        <v>54.975177828590063</v>
      </c>
      <c r="AL25" s="3">
        <v>57.082485437684483</v>
      </c>
    </row>
    <row r="26" spans="1:38" x14ac:dyDescent="0.3">
      <c r="A26" s="2">
        <v>39783</v>
      </c>
      <c r="B26" s="4">
        <v>52.55</v>
      </c>
      <c r="C26" s="3">
        <v>2141.1</v>
      </c>
      <c r="D26" s="3">
        <v>25.613</v>
      </c>
      <c r="E26" s="3">
        <v>-0.13300000000000001</v>
      </c>
      <c r="F26" s="3">
        <v>-0.77500000000000002</v>
      </c>
      <c r="G26" t="s">
        <v>20</v>
      </c>
      <c r="H26" s="1"/>
      <c r="I26">
        <v>1</v>
      </c>
      <c r="J26" s="3"/>
      <c r="K26" s="1"/>
      <c r="L26" s="1"/>
      <c r="M26" s="1"/>
      <c r="N26" s="1"/>
      <c r="P26" s="1"/>
      <c r="Q26" s="1"/>
      <c r="R26" s="1"/>
      <c r="S26" s="1"/>
      <c r="T26" s="1"/>
      <c r="U26" s="1"/>
      <c r="V26" s="1"/>
      <c r="Z26" s="3"/>
      <c r="AA26" s="3"/>
      <c r="AB26">
        <v>2008</v>
      </c>
      <c r="AC26" t="s">
        <v>47</v>
      </c>
      <c r="AD26" s="3">
        <v>2250.2057487817365</v>
      </c>
      <c r="AE26" s="3">
        <v>814.80118703619996</v>
      </c>
      <c r="AF26" s="3">
        <v>3685.6103105272732</v>
      </c>
      <c r="AG26" s="3">
        <v>10.907584995752391</v>
      </c>
      <c r="AH26" s="3">
        <v>9.2639173058884197</v>
      </c>
      <c r="AI26" s="3">
        <v>12.551252685616362</v>
      </c>
      <c r="AJ26" s="3">
        <v>55.737845727461085</v>
      </c>
      <c r="AK26" s="3">
        <v>54.684191922913875</v>
      </c>
      <c r="AL26" s="3">
        <v>56.791499532008295</v>
      </c>
    </row>
    <row r="27" spans="1:38" x14ac:dyDescent="0.3">
      <c r="A27" s="2">
        <v>40148</v>
      </c>
      <c r="B27" s="4">
        <v>52.15</v>
      </c>
      <c r="C27" s="3">
        <v>2971</v>
      </c>
      <c r="D27" s="3">
        <v>23.538</v>
      </c>
      <c r="E27" s="3">
        <v>-0.33800000000000002</v>
      </c>
      <c r="F27" s="3">
        <v>0.3</v>
      </c>
      <c r="G27" t="s">
        <v>19</v>
      </c>
      <c r="H27" s="1"/>
      <c r="I27">
        <v>1</v>
      </c>
      <c r="J27" s="3"/>
      <c r="K27" s="1"/>
      <c r="L27" s="1"/>
      <c r="M27" s="1"/>
      <c r="N27" s="1"/>
      <c r="P27" s="1"/>
      <c r="Q27" s="1"/>
      <c r="R27" s="1"/>
      <c r="S27" s="1"/>
      <c r="T27" s="1"/>
      <c r="U27" s="1"/>
      <c r="V27" s="1"/>
      <c r="Z27" s="3"/>
      <c r="AA27" s="3"/>
      <c r="AB27">
        <v>2009</v>
      </c>
      <c r="AC27" t="s">
        <v>48</v>
      </c>
      <c r="AD27" s="3">
        <v>2073.3084889809561</v>
      </c>
      <c r="AE27" s="3">
        <v>637.90392723541959</v>
      </c>
      <c r="AF27" s="3">
        <v>3508.7130507264928</v>
      </c>
      <c r="AG27" s="3">
        <v>11.236542120965446</v>
      </c>
      <c r="AH27" s="3">
        <v>9.5928744311014746</v>
      </c>
      <c r="AI27" s="3">
        <v>12.880209810829417</v>
      </c>
      <c r="AJ27" s="3">
        <v>55.761393875104304</v>
      </c>
      <c r="AK27" s="3">
        <v>54.707740070557094</v>
      </c>
      <c r="AL27" s="3">
        <v>56.815047679651514</v>
      </c>
    </row>
    <row r="28" spans="1:38" x14ac:dyDescent="0.3">
      <c r="A28" s="2">
        <v>40513</v>
      </c>
      <c r="B28" s="4">
        <v>52.49</v>
      </c>
      <c r="C28" s="3">
        <v>2397.3000000000002</v>
      </c>
      <c r="D28" s="3">
        <v>22.875</v>
      </c>
      <c r="E28" s="3">
        <v>-0.57899999999999996</v>
      </c>
      <c r="F28" s="3">
        <v>-0.47499999999999998</v>
      </c>
      <c r="G28" t="s">
        <v>19</v>
      </c>
      <c r="H28" s="1"/>
      <c r="I28">
        <v>1</v>
      </c>
      <c r="J28" s="3"/>
      <c r="K28" s="1"/>
      <c r="L28" s="1"/>
      <c r="M28" s="1"/>
      <c r="N28" s="1"/>
      <c r="P28" s="1"/>
      <c r="Q28" s="1"/>
      <c r="R28" s="1"/>
      <c r="S28" s="1"/>
      <c r="T28" s="1"/>
      <c r="U28" s="1"/>
      <c r="V28" s="1"/>
      <c r="Z28" s="3"/>
      <c r="AA28" s="3"/>
      <c r="AB28">
        <v>2010</v>
      </c>
      <c r="AC28" t="s">
        <v>49</v>
      </c>
      <c r="AD28" s="3">
        <v>2420.5374483148739</v>
      </c>
      <c r="AE28" s="3">
        <v>985.13288656933742</v>
      </c>
      <c r="AF28" s="3">
        <v>3855.9420100604102</v>
      </c>
      <c r="AG28" s="3">
        <v>11.237696134224166</v>
      </c>
      <c r="AH28" s="3">
        <v>9.5940284443601946</v>
      </c>
      <c r="AI28" s="3">
        <v>12.881363824088137</v>
      </c>
      <c r="AJ28" s="3">
        <v>55.398765889936108</v>
      </c>
      <c r="AK28" s="3">
        <v>54.345112085388898</v>
      </c>
      <c r="AL28" s="3">
        <v>56.452419694483318</v>
      </c>
    </row>
    <row r="29" spans="1:38" x14ac:dyDescent="0.3">
      <c r="A29" s="2">
        <v>40878</v>
      </c>
      <c r="B29" s="4">
        <v>51.87</v>
      </c>
      <c r="C29" s="3">
        <v>2157.1</v>
      </c>
      <c r="D29" s="3">
        <v>24.696000000000002</v>
      </c>
      <c r="E29" s="3">
        <v>0.20799999999999999</v>
      </c>
      <c r="F29" s="3">
        <v>-0.85</v>
      </c>
      <c r="G29" t="s">
        <v>20</v>
      </c>
      <c r="H29" s="1"/>
      <c r="I29">
        <v>1</v>
      </c>
      <c r="J29" s="3"/>
      <c r="K29" s="1"/>
      <c r="L29" s="1"/>
      <c r="M29" s="1"/>
      <c r="N29" s="1"/>
      <c r="P29" s="1"/>
      <c r="Q29" s="1"/>
      <c r="R29" s="1"/>
      <c r="S29" s="1"/>
      <c r="T29" s="1"/>
      <c r="U29" s="1"/>
      <c r="V29" s="1"/>
      <c r="Z29" s="3"/>
      <c r="AA29" s="3"/>
      <c r="AB29">
        <v>2011</v>
      </c>
      <c r="AC29" t="s">
        <v>50</v>
      </c>
      <c r="AD29" s="3">
        <v>2539.9916870648831</v>
      </c>
      <c r="AE29" s="3">
        <v>1104.5871253193466</v>
      </c>
      <c r="AF29" s="3">
        <v>3975.3962488104198</v>
      </c>
      <c r="AG29" s="3">
        <v>10.92966160723131</v>
      </c>
      <c r="AH29" s="3">
        <v>9.2859939173673389</v>
      </c>
      <c r="AI29" s="3">
        <v>12.573329297095281</v>
      </c>
      <c r="AJ29" s="3">
        <v>55.426996373439486</v>
      </c>
      <c r="AK29" s="3">
        <v>54.373342568892276</v>
      </c>
      <c r="AL29" s="3">
        <v>56.480650177986696</v>
      </c>
    </row>
    <row r="30" spans="1:38" x14ac:dyDescent="0.3">
      <c r="A30" s="2">
        <v>41244</v>
      </c>
      <c r="B30" s="4">
        <v>51.65</v>
      </c>
      <c r="C30" s="3">
        <v>2468.5</v>
      </c>
      <c r="D30" s="3">
        <v>23.954000000000001</v>
      </c>
      <c r="E30" s="3">
        <v>-1.7000000000000001E-2</v>
      </c>
      <c r="F30" s="3">
        <v>-0.15</v>
      </c>
      <c r="G30" t="s">
        <v>19</v>
      </c>
      <c r="H30" s="1"/>
      <c r="I30">
        <v>1</v>
      </c>
      <c r="J30" s="3"/>
      <c r="K30" s="1"/>
      <c r="L30" s="1"/>
      <c r="M30" s="1"/>
      <c r="N30" s="1"/>
      <c r="P30" s="1"/>
      <c r="Q30" s="1"/>
      <c r="R30" s="1"/>
      <c r="S30" s="1"/>
      <c r="T30" s="1"/>
      <c r="U30" s="1"/>
      <c r="V30" s="1"/>
      <c r="Z30" s="3"/>
      <c r="AA30" s="3"/>
      <c r="AB30">
        <v>2012</v>
      </c>
      <c r="AC30" t="s">
        <v>51</v>
      </c>
      <c r="AD30" s="3">
        <v>2342.5607378903337</v>
      </c>
      <c r="AE30" s="3">
        <v>907.1561761447972</v>
      </c>
      <c r="AF30" s="3">
        <v>3777.96529963587</v>
      </c>
      <c r="AG30" s="3">
        <v>10.542193145778445</v>
      </c>
      <c r="AH30" s="3">
        <v>8.8985254559144735</v>
      </c>
      <c r="AI30" s="3">
        <v>12.185860835642416</v>
      </c>
      <c r="AJ30" s="3">
        <v>55.073804327001909</v>
      </c>
      <c r="AK30" s="3">
        <v>54.020150522454699</v>
      </c>
      <c r="AL30" s="3">
        <v>56.127458131549119</v>
      </c>
    </row>
    <row r="31" spans="1:38" x14ac:dyDescent="0.3">
      <c r="A31" s="2">
        <v>41609</v>
      </c>
      <c r="B31" s="4">
        <v>51.37</v>
      </c>
      <c r="C31" s="3">
        <v>2121.8000000000002</v>
      </c>
      <c r="D31" s="3">
        <v>24.428999999999998</v>
      </c>
      <c r="E31" s="3">
        <v>-0.2</v>
      </c>
      <c r="F31" s="3">
        <v>-0.32500000000000001</v>
      </c>
      <c r="G31" t="s">
        <v>19</v>
      </c>
      <c r="H31" s="1"/>
      <c r="I31">
        <v>1</v>
      </c>
      <c r="J31" s="3"/>
      <c r="K31" s="1"/>
      <c r="L31" s="1"/>
      <c r="M31" s="1"/>
      <c r="N31" s="1"/>
      <c r="P31" s="1"/>
      <c r="Q31" s="1"/>
      <c r="R31" s="1"/>
      <c r="S31" s="1"/>
      <c r="T31" s="1"/>
      <c r="U31" s="1"/>
      <c r="V31" s="1"/>
      <c r="Z31" s="3"/>
      <c r="AA31" s="3"/>
      <c r="AB31">
        <v>2013</v>
      </c>
      <c r="AC31" t="s">
        <v>52</v>
      </c>
      <c r="AD31" s="3">
        <v>2289.8488017913805</v>
      </c>
      <c r="AE31" s="3">
        <v>854.44424004584403</v>
      </c>
      <c r="AF31" s="3">
        <v>3725.2533635369173</v>
      </c>
      <c r="AG31" s="3">
        <v>10.699190034209739</v>
      </c>
      <c r="AH31" s="3">
        <v>9.0555223443457677</v>
      </c>
      <c r="AI31" s="3">
        <v>12.34285772407371</v>
      </c>
      <c r="AJ31" s="3">
        <v>55.63169390500201</v>
      </c>
      <c r="AK31" s="3">
        <v>54.5780401004548</v>
      </c>
      <c r="AL31" s="3">
        <v>56.68534770954922</v>
      </c>
    </row>
    <row r="32" spans="1:38" x14ac:dyDescent="0.3">
      <c r="A32" s="2">
        <v>41974</v>
      </c>
      <c r="B32" s="4">
        <v>51.17</v>
      </c>
      <c r="C32" s="3">
        <v>2379.5</v>
      </c>
      <c r="D32" s="3">
        <v>23.591999999999999</v>
      </c>
      <c r="E32" s="3">
        <v>-0.34599999999999997</v>
      </c>
      <c r="F32" s="3">
        <v>0.108</v>
      </c>
      <c r="G32" t="s">
        <v>19</v>
      </c>
      <c r="H32" s="1"/>
      <c r="I32">
        <v>1</v>
      </c>
      <c r="J32" s="3"/>
      <c r="K32" s="1"/>
      <c r="L32" s="1"/>
      <c r="M32" s="1"/>
      <c r="N32" s="1"/>
      <c r="P32" s="1"/>
      <c r="Q32" s="1"/>
      <c r="R32" s="1"/>
      <c r="S32" s="1"/>
      <c r="T32" s="1"/>
      <c r="U32" s="1"/>
      <c r="V32" s="1"/>
      <c r="Z32" s="3"/>
      <c r="AA32" s="3"/>
      <c r="AB32">
        <v>2014</v>
      </c>
      <c r="AC32" t="s">
        <v>53</v>
      </c>
      <c r="AD32" s="3">
        <v>2222.0496404423461</v>
      </c>
      <c r="AE32" s="3">
        <v>786.64507869680961</v>
      </c>
      <c r="AF32" s="3">
        <v>3657.4542021878824</v>
      </c>
      <c r="AG32" s="3">
        <v>11.89388946591586</v>
      </c>
      <c r="AH32" s="3">
        <v>10.250221776051889</v>
      </c>
      <c r="AI32" s="3">
        <v>13.537557155779831</v>
      </c>
      <c r="AJ32" s="3">
        <v>54.861337319847934</v>
      </c>
      <c r="AK32" s="3">
        <v>53.807683515300724</v>
      </c>
      <c r="AL32" s="3">
        <v>55.914991124395144</v>
      </c>
    </row>
    <row r="33" spans="1:38" x14ac:dyDescent="0.3">
      <c r="A33" s="2">
        <v>42339</v>
      </c>
      <c r="B33" s="4">
        <v>51.6</v>
      </c>
      <c r="C33" s="3">
        <v>2507.6999999999998</v>
      </c>
      <c r="D33" s="3">
        <v>24.917000000000002</v>
      </c>
      <c r="E33" s="3">
        <v>-0.55400000000000005</v>
      </c>
      <c r="F33" s="3">
        <v>1.458</v>
      </c>
      <c r="G33" t="s">
        <v>24</v>
      </c>
      <c r="H33" s="1"/>
      <c r="I33">
        <v>1</v>
      </c>
      <c r="J33" s="3"/>
      <c r="K33" s="1"/>
      <c r="L33" s="1"/>
      <c r="M33" s="1"/>
      <c r="N33" s="1"/>
      <c r="P33" s="1"/>
      <c r="Q33" s="1"/>
      <c r="R33" s="1"/>
      <c r="S33" s="1"/>
      <c r="T33" s="1"/>
      <c r="U33" s="1"/>
      <c r="V33" s="1"/>
      <c r="Z33" s="3"/>
      <c r="AA33" s="3"/>
      <c r="AB33">
        <v>2015</v>
      </c>
      <c r="AC33" t="s">
        <v>54</v>
      </c>
      <c r="AD33" s="3">
        <v>2248.4216665148165</v>
      </c>
      <c r="AE33" s="3">
        <v>813.01710476927997</v>
      </c>
      <c r="AF33" s="3">
        <v>3683.8262282603528</v>
      </c>
      <c r="AG33" s="3">
        <v>11.984592948396038</v>
      </c>
      <c r="AH33" s="3">
        <v>10.340925258532067</v>
      </c>
      <c r="AI33" s="3">
        <v>13.628260638260009</v>
      </c>
      <c r="AJ33" s="3">
        <v>54.828533243232222</v>
      </c>
      <c r="AK33" s="3">
        <v>53.774879438685012</v>
      </c>
      <c r="AL33" s="3">
        <v>55.882187047779432</v>
      </c>
    </row>
    <row r="34" spans="1:38" x14ac:dyDescent="0.3">
      <c r="A34" s="2">
        <v>42705</v>
      </c>
      <c r="B34" s="4">
        <v>51.47</v>
      </c>
      <c r="C34" s="3">
        <v>1584.3</v>
      </c>
      <c r="D34" s="3">
        <v>25.846</v>
      </c>
      <c r="E34" s="3">
        <v>-0.47499999999999998</v>
      </c>
      <c r="F34" s="3">
        <v>0.32500000000000001</v>
      </c>
      <c r="G34" t="s">
        <v>19</v>
      </c>
      <c r="H34" s="1"/>
      <c r="I34">
        <v>1</v>
      </c>
      <c r="J34" s="3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Z34" s="3"/>
      <c r="AA34" s="3"/>
      <c r="AB34">
        <v>2016</v>
      </c>
      <c r="AC34" t="s">
        <v>55</v>
      </c>
      <c r="AD34" s="3">
        <v>2350.2896620115803</v>
      </c>
      <c r="AE34" s="3">
        <v>914.88510026604376</v>
      </c>
      <c r="AF34" s="3">
        <v>3785.6942237571166</v>
      </c>
      <c r="AG34" s="3">
        <v>12.21911771975085</v>
      </c>
      <c r="AH34" s="3">
        <v>10.575450029886879</v>
      </c>
      <c r="AI34" s="3">
        <v>13.862785409614821</v>
      </c>
      <c r="AJ34" s="3">
        <v>54.181750477197703</v>
      </c>
      <c r="AK34" s="3">
        <v>53.128096672650493</v>
      </c>
      <c r="AL34" s="3">
        <v>55.235404281744913</v>
      </c>
    </row>
    <row r="35" spans="1:38" x14ac:dyDescent="0.3">
      <c r="A35" s="2">
        <v>43070</v>
      </c>
      <c r="B35" s="4">
        <v>50.8</v>
      </c>
      <c r="C35" s="3">
        <v>2047.26</v>
      </c>
      <c r="D35" s="3">
        <v>23.65</v>
      </c>
      <c r="E35" s="3">
        <v>4.0000000000000001E-3</v>
      </c>
      <c r="F35" s="3">
        <v>-0.20799999999999999</v>
      </c>
      <c r="G35" t="s">
        <v>19</v>
      </c>
      <c r="H35" s="1"/>
      <c r="I35">
        <v>1</v>
      </c>
      <c r="J35" s="3"/>
      <c r="K35" s="1"/>
      <c r="L35" s="1"/>
      <c r="M35" s="1"/>
      <c r="N35" s="1"/>
      <c r="P35" s="1"/>
      <c r="Q35" s="1"/>
      <c r="R35" s="1"/>
      <c r="S35" s="1"/>
      <c r="T35" s="1"/>
      <c r="U35" s="1"/>
      <c r="V35" s="1"/>
      <c r="Z35" s="3"/>
      <c r="AA35" s="3"/>
      <c r="AB35">
        <v>2017</v>
      </c>
      <c r="AC35" t="s">
        <v>56</v>
      </c>
      <c r="AD35" s="3">
        <v>2038.1277718400788</v>
      </c>
      <c r="AE35" s="3">
        <v>602.72321009454231</v>
      </c>
      <c r="AF35" s="3">
        <v>3473.5323335856156</v>
      </c>
      <c r="AG35" s="3">
        <v>11.637101864098378</v>
      </c>
      <c r="AH35" s="3">
        <v>9.9934341742344071</v>
      </c>
      <c r="AI35" s="3">
        <v>13.280769553962349</v>
      </c>
      <c r="AJ35" s="3">
        <v>54.268387511647248</v>
      </c>
      <c r="AK35" s="3">
        <v>53.214733707100038</v>
      </c>
      <c r="AL35" s="3">
        <v>55.322041316194458</v>
      </c>
    </row>
    <row r="36" spans="1:38" x14ac:dyDescent="0.3">
      <c r="A36" s="2">
        <v>43435</v>
      </c>
      <c r="B36" s="4">
        <v>51.16</v>
      </c>
      <c r="C36" s="3">
        <v>2451.1999999999998</v>
      </c>
      <c r="D36" s="3">
        <v>23.9</v>
      </c>
      <c r="E36" s="3">
        <v>-0.72099999999999997</v>
      </c>
      <c r="F36" s="3">
        <v>8.0000000000000002E-3</v>
      </c>
      <c r="G36" t="s">
        <v>19</v>
      </c>
      <c r="H36" s="1"/>
      <c r="I36">
        <v>1</v>
      </c>
      <c r="J36" s="3"/>
      <c r="K36" s="1"/>
      <c r="L36" s="1"/>
      <c r="M36" s="1"/>
      <c r="N36" s="1"/>
      <c r="P36" s="1"/>
      <c r="Q36" s="1"/>
      <c r="R36" s="1"/>
      <c r="S36" s="1"/>
      <c r="T36" s="1"/>
      <c r="U36" s="1"/>
      <c r="V36" s="1"/>
      <c r="Z36" s="3"/>
      <c r="AA36" s="3"/>
      <c r="AB36">
        <v>2018</v>
      </c>
      <c r="AC36" t="s">
        <v>57</v>
      </c>
      <c r="AD36" s="3">
        <v>1895.4696852624654</v>
      </c>
      <c r="AE36" s="3">
        <v>460.06512351692891</v>
      </c>
      <c r="AF36" s="3">
        <v>3330.8742470080019</v>
      </c>
      <c r="AG36" s="3">
        <v>11.255022041781107</v>
      </c>
      <c r="AH36" s="3">
        <v>9.6113543519171358</v>
      </c>
      <c r="AI36" s="3">
        <v>12.898689731645078</v>
      </c>
      <c r="AJ36" s="3">
        <v>53.991181613718915</v>
      </c>
      <c r="AK36" s="3">
        <v>52.937527809171705</v>
      </c>
      <c r="AL36" s="3">
        <v>55.044835418266125</v>
      </c>
    </row>
    <row r="37" spans="1:38" x14ac:dyDescent="0.3">
      <c r="A37" s="2">
        <v>43800</v>
      </c>
      <c r="B37" s="4">
        <v>51.59</v>
      </c>
      <c r="C37" s="3">
        <v>2108.9</v>
      </c>
      <c r="D37" s="3">
        <v>25.495999999999999</v>
      </c>
      <c r="E37" s="3">
        <v>-1.4330000000000001</v>
      </c>
      <c r="F37" s="3">
        <v>0.47499999999999998</v>
      </c>
      <c r="G37" t="s">
        <v>19</v>
      </c>
      <c r="H37" s="1"/>
      <c r="I37">
        <v>1</v>
      </c>
      <c r="J37" s="3"/>
      <c r="K37" s="1"/>
      <c r="L37" s="1"/>
      <c r="M37" s="1"/>
      <c r="N37" s="1"/>
      <c r="P37" s="1"/>
      <c r="Q37" s="1"/>
      <c r="R37" s="1"/>
      <c r="S37" s="1"/>
      <c r="T37" s="1"/>
      <c r="U37" s="1"/>
      <c r="V37" s="1"/>
      <c r="Z37" s="3"/>
      <c r="AA37" s="3"/>
      <c r="AB37">
        <v>2019</v>
      </c>
      <c r="AC37" t="s">
        <v>58</v>
      </c>
      <c r="AD37" s="3">
        <v>2105.460013995762</v>
      </c>
      <c r="AE37" s="3">
        <v>670.05545225022547</v>
      </c>
      <c r="AF37" s="3">
        <v>3540.8645757412987</v>
      </c>
      <c r="AG37" s="3">
        <v>10.844409940250641</v>
      </c>
      <c r="AH37" s="3">
        <v>9.2007422503866696</v>
      </c>
      <c r="AI37" s="3">
        <v>12.488077630114612</v>
      </c>
      <c r="AJ37" s="3">
        <v>54.138281723024356</v>
      </c>
      <c r="AK37" s="3">
        <v>53.084627918477146</v>
      </c>
      <c r="AL37" s="3">
        <v>55.191935527571566</v>
      </c>
    </row>
    <row r="38" spans="1:38" x14ac:dyDescent="0.3">
      <c r="A38" s="2">
        <v>44166</v>
      </c>
      <c r="B38" s="4">
        <v>51.41</v>
      </c>
      <c r="C38" s="3">
        <v>1775.4</v>
      </c>
      <c r="D38" s="3">
        <v>24.928999999999998</v>
      </c>
      <c r="E38" s="3">
        <v>-0.71299999999999997</v>
      </c>
      <c r="F38" s="3">
        <v>-0.36699999999999999</v>
      </c>
      <c r="G38" t="s">
        <v>19</v>
      </c>
      <c r="H38" s="1"/>
      <c r="I38">
        <v>1</v>
      </c>
      <c r="J38" s="3"/>
      <c r="K38" s="1"/>
      <c r="L38" s="1"/>
      <c r="M38" s="1"/>
      <c r="N38" s="1"/>
      <c r="P38" s="1"/>
      <c r="Q38" s="1"/>
      <c r="R38" s="1"/>
      <c r="S38" s="1"/>
      <c r="T38" s="1"/>
      <c r="U38" s="1"/>
      <c r="V38" s="1"/>
      <c r="Z38" s="3"/>
      <c r="AA38" s="3"/>
      <c r="AB38">
        <v>2020</v>
      </c>
      <c r="AC38" t="s">
        <v>59</v>
      </c>
      <c r="AD38" s="3">
        <v>2191.5242780759881</v>
      </c>
      <c r="AE38" s="3">
        <v>756.11971633045164</v>
      </c>
      <c r="AF38" s="3">
        <v>3626.9288398215249</v>
      </c>
      <c r="AG38" s="3">
        <v>11.543284872243776</v>
      </c>
      <c r="AH38" s="3">
        <v>9.8996171823798047</v>
      </c>
      <c r="AI38" s="3">
        <v>13.186952562107747</v>
      </c>
      <c r="AJ38" s="3">
        <v>53.975293373515981</v>
      </c>
      <c r="AK38" s="3">
        <v>52.921639568968772</v>
      </c>
      <c r="AL38" s="3">
        <v>55.028947178063191</v>
      </c>
    </row>
    <row r="39" spans="1:38" x14ac:dyDescent="0.3">
      <c r="A39" s="2">
        <v>44531</v>
      </c>
      <c r="B39" s="4">
        <v>50.22</v>
      </c>
      <c r="C39" s="3">
        <v>2150.6</v>
      </c>
      <c r="D39" s="3">
        <v>25.65</v>
      </c>
      <c r="E39" s="3">
        <v>-0.97499999999999998</v>
      </c>
      <c r="F39" s="3">
        <v>-0.72499999999999998</v>
      </c>
      <c r="G39" t="s">
        <v>20</v>
      </c>
      <c r="H39" s="1"/>
      <c r="I39">
        <v>1</v>
      </c>
      <c r="J39" s="3"/>
      <c r="K39" s="1"/>
      <c r="L39" s="1"/>
      <c r="M39" s="1"/>
      <c r="N39" s="1"/>
      <c r="P39" s="1"/>
      <c r="Q39" s="1"/>
      <c r="R39" s="1"/>
      <c r="S39" s="1"/>
      <c r="T39" s="1"/>
      <c r="U39" s="1"/>
      <c r="V39" s="1"/>
      <c r="Z39" s="3"/>
      <c r="AA39" s="3"/>
      <c r="AB39">
        <v>2021</v>
      </c>
      <c r="AC39" t="s">
        <v>60</v>
      </c>
      <c r="AD39" s="3">
        <v>1975.3094175339447</v>
      </c>
      <c r="AE39" s="3">
        <v>539.90485578840821</v>
      </c>
      <c r="AF39" s="3">
        <v>3410.7139792794815</v>
      </c>
      <c r="AG39" s="3">
        <v>11.606844615376708</v>
      </c>
      <c r="AH39" s="3">
        <v>9.9631769255127374</v>
      </c>
      <c r="AI39" s="3">
        <v>13.250512305240679</v>
      </c>
      <c r="AJ39" s="3">
        <v>53.994197164266694</v>
      </c>
      <c r="AK39" s="3">
        <v>52.940543359719484</v>
      </c>
      <c r="AL39" s="3">
        <v>55.047850968813904</v>
      </c>
    </row>
    <row r="40" spans="1:38" x14ac:dyDescent="0.3">
      <c r="A40" s="2">
        <v>44896</v>
      </c>
      <c r="B40" s="4">
        <v>50.02</v>
      </c>
      <c r="C40" s="3">
        <v>2893.7</v>
      </c>
      <c r="D40" s="3">
        <v>24.765999999999998</v>
      </c>
      <c r="E40" s="3">
        <v>-0.71799999999999997</v>
      </c>
      <c r="F40" s="3">
        <v>-0.94199999999999995</v>
      </c>
      <c r="G40" t="s">
        <v>20</v>
      </c>
      <c r="H40" s="1"/>
      <c r="I40">
        <v>1</v>
      </c>
      <c r="J40" s="3"/>
      <c r="K40" s="1"/>
      <c r="L40" s="1"/>
      <c r="M40" s="1"/>
      <c r="N40" s="1"/>
      <c r="P40" s="1"/>
      <c r="Q40" s="1"/>
      <c r="R40" s="1"/>
      <c r="S40" s="1"/>
      <c r="T40" s="1"/>
      <c r="U40" s="1"/>
      <c r="V40" s="1"/>
      <c r="Z40" s="3"/>
      <c r="AA40" s="3"/>
      <c r="AB40">
        <v>2022</v>
      </c>
      <c r="AC40" t="s">
        <v>61</v>
      </c>
      <c r="AD40" s="3">
        <v>1951.4332258668107</v>
      </c>
      <c r="AE40" s="3">
        <v>516.02866412127423</v>
      </c>
      <c r="AF40" s="3">
        <v>3386.8377876123473</v>
      </c>
      <c r="AG40" s="3">
        <v>11.58033925602834</v>
      </c>
      <c r="AH40" s="3">
        <v>9.9366715661643692</v>
      </c>
      <c r="AI40" s="3">
        <v>13.224006945892311</v>
      </c>
      <c r="AJ40" s="3">
        <v>53.485431849317486</v>
      </c>
      <c r="AK40" s="3">
        <v>52.431778044770276</v>
      </c>
      <c r="AL40" s="3">
        <v>54.539085653864696</v>
      </c>
    </row>
    <row r="41" spans="1:38" x14ac:dyDescent="0.3">
      <c r="A41" s="2">
        <v>45261</v>
      </c>
      <c r="B41" s="4"/>
      <c r="C41" s="5">
        <v>2489.9</v>
      </c>
      <c r="D41" s="3">
        <v>25.25</v>
      </c>
      <c r="E41" s="3">
        <v>-0.95</v>
      </c>
      <c r="F41" s="3">
        <v>0.83299999999999996</v>
      </c>
      <c r="G41" t="s">
        <v>29</v>
      </c>
      <c r="H41" s="1"/>
      <c r="I41">
        <v>0</v>
      </c>
      <c r="J41" s="4"/>
      <c r="K41" s="1"/>
      <c r="L41" s="1"/>
      <c r="M41" s="1"/>
      <c r="N41" s="1"/>
      <c r="P41" s="1"/>
      <c r="Q41" s="1"/>
      <c r="R41" s="1"/>
      <c r="S41" s="1"/>
      <c r="T41" s="1"/>
      <c r="U41" s="1"/>
      <c r="V41" s="1"/>
      <c r="Z41" s="1"/>
      <c r="AA41" s="1"/>
      <c r="AB41">
        <v>2023</v>
      </c>
      <c r="AC41" t="s">
        <v>62</v>
      </c>
      <c r="AD41" s="3">
        <v>2372.0390573889595</v>
      </c>
      <c r="AE41" s="3">
        <v>936.63449564342295</v>
      </c>
      <c r="AF41" s="3">
        <v>3807.4436191344957</v>
      </c>
      <c r="AG41" s="3">
        <v>11.574672325928047</v>
      </c>
      <c r="AH41" s="3">
        <v>9.9310046360640758</v>
      </c>
      <c r="AI41" s="3">
        <v>13.218340015792018</v>
      </c>
      <c r="AJ41" s="3">
        <v>53.8</v>
      </c>
      <c r="AK41" s="3">
        <v>54.845999999999997</v>
      </c>
      <c r="AL41" s="3">
        <v>52.762999999999998</v>
      </c>
    </row>
    <row r="42" spans="1:38" x14ac:dyDescent="0.3">
      <c r="A42" s="2">
        <v>45627</v>
      </c>
      <c r="B42" s="4"/>
      <c r="C42" s="5">
        <v>1908.1</v>
      </c>
      <c r="D42" s="3">
        <v>26.25</v>
      </c>
      <c r="E42" s="3">
        <v>-1</v>
      </c>
      <c r="F42" s="3">
        <v>0.35</v>
      </c>
      <c r="G42" t="s">
        <v>19</v>
      </c>
      <c r="H42" s="1"/>
      <c r="I42">
        <v>0</v>
      </c>
      <c r="J42" s="4"/>
      <c r="K42" s="1"/>
      <c r="L42" s="1"/>
      <c r="M42" s="1"/>
      <c r="N42" s="1"/>
      <c r="P42" s="1"/>
      <c r="Q42" s="1"/>
      <c r="R42" s="1"/>
      <c r="S42" s="1"/>
      <c r="T42" s="1"/>
      <c r="U42" s="1"/>
      <c r="V42" s="1"/>
      <c r="Z42" s="1"/>
      <c r="AA42" s="1"/>
      <c r="AB42">
        <v>2024</v>
      </c>
      <c r="AC42" t="s">
        <v>63</v>
      </c>
      <c r="AD42" s="3">
        <v>2499.7493567431516</v>
      </c>
      <c r="AE42" s="3">
        <v>932.16278824014603</v>
      </c>
      <c r="AF42" s="3">
        <v>4067.3359252461569</v>
      </c>
      <c r="AG42" s="3">
        <v>11.603032931076084</v>
      </c>
      <c r="AH42" s="3">
        <v>9.8468205977214147</v>
      </c>
      <c r="AI42" s="3">
        <v>13.359245264430754</v>
      </c>
      <c r="AJ42" s="3">
        <v>53.179000000000002</v>
      </c>
      <c r="AK42" s="3">
        <v>54.317999999999998</v>
      </c>
      <c r="AL42" s="3">
        <v>52.05</v>
      </c>
    </row>
    <row r="43" spans="1:38" x14ac:dyDescent="0.3">
      <c r="A43" s="2">
        <v>45992</v>
      </c>
      <c r="B43" s="1"/>
      <c r="C43" s="1"/>
      <c r="D43" s="1"/>
      <c r="E43" s="1"/>
      <c r="F43" s="1"/>
      <c r="H43" s="1"/>
      <c r="I43">
        <v>0</v>
      </c>
      <c r="J43" s="1"/>
      <c r="K43" s="1"/>
      <c r="L43" s="1"/>
      <c r="M43" s="1"/>
      <c r="N43" s="1"/>
      <c r="P43" s="1"/>
      <c r="Q43" s="1"/>
      <c r="R43" s="1"/>
      <c r="S43" s="1"/>
      <c r="T43" s="1"/>
      <c r="U43" s="1"/>
      <c r="V43" s="1"/>
      <c r="Z43" s="1"/>
      <c r="AA43" s="1"/>
      <c r="AB43">
        <v>2025</v>
      </c>
      <c r="AC43" t="s">
        <v>64</v>
      </c>
      <c r="AD43" s="3">
        <v>2470.261090566461</v>
      </c>
      <c r="AE43" s="3">
        <v>688.57194774099594</v>
      </c>
      <c r="AF43" s="3">
        <v>4251.9502333919263</v>
      </c>
      <c r="AG43" s="3">
        <v>11.626598662753301</v>
      </c>
      <c r="AH43" s="3">
        <v>9.4663770073916318</v>
      </c>
      <c r="AI43" s="3">
        <v>13.78682031811497</v>
      </c>
      <c r="AJ43" s="3">
        <v>52.978999999999999</v>
      </c>
      <c r="AK43" s="3">
        <v>54.13</v>
      </c>
      <c r="AL43" s="3">
        <v>51.835999999999999</v>
      </c>
    </row>
    <row r="44" spans="1:38" x14ac:dyDescent="0.3">
      <c r="A44" s="2">
        <v>46357</v>
      </c>
      <c r="B44" s="1"/>
      <c r="C44" s="1"/>
      <c r="D44" s="1"/>
      <c r="E44" s="1"/>
      <c r="F44" s="1"/>
      <c r="H44" s="1"/>
      <c r="I44">
        <v>0</v>
      </c>
      <c r="J44" s="1"/>
      <c r="K44" s="1"/>
      <c r="L44" s="1"/>
      <c r="M44" s="1"/>
      <c r="N44" s="1"/>
      <c r="P44" s="1"/>
      <c r="Q44" s="1"/>
      <c r="R44" s="1"/>
      <c r="S44" s="1"/>
      <c r="T44" s="1"/>
      <c r="U44" s="1"/>
      <c r="V44" s="1"/>
      <c r="Z44" s="1"/>
      <c r="AA44" s="1"/>
      <c r="AB44">
        <v>2026</v>
      </c>
      <c r="AC44" t="s">
        <v>65</v>
      </c>
      <c r="AD44" s="3">
        <v>2422.6162365656523</v>
      </c>
      <c r="AE44" s="3">
        <v>445.4925100938749</v>
      </c>
      <c r="AF44" s="3">
        <v>4399.7399630374293</v>
      </c>
      <c r="AG44" s="3">
        <v>11.653154766000451</v>
      </c>
      <c r="AH44" s="3">
        <v>9.3283453853688556</v>
      </c>
      <c r="AI44" s="3">
        <v>13.977964146632047</v>
      </c>
      <c r="AJ44" s="3">
        <v>53.268000000000001</v>
      </c>
      <c r="AK44" s="3">
        <v>54.604999999999997</v>
      </c>
      <c r="AL44" s="3">
        <v>51.945</v>
      </c>
    </row>
    <row r="45" spans="1:38" x14ac:dyDescent="0.3">
      <c r="A45" s="2">
        <v>46722</v>
      </c>
      <c r="B45" s="1"/>
      <c r="C45" s="1"/>
      <c r="D45" s="1"/>
      <c r="E45" s="1"/>
      <c r="F45" s="1"/>
      <c r="H45" s="1"/>
      <c r="I45">
        <v>0</v>
      </c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  <c r="V45" s="1"/>
      <c r="Z45" s="1"/>
      <c r="AA45" s="1"/>
      <c r="AB45">
        <v>2027</v>
      </c>
      <c r="AC45" t="s">
        <v>66</v>
      </c>
      <c r="AD45" s="3">
        <v>2410.9053191644789</v>
      </c>
      <c r="AE45" s="3">
        <v>272.0794188255577</v>
      </c>
      <c r="AF45" s="3">
        <v>4549.7312195034001</v>
      </c>
      <c r="AG45" s="3">
        <v>11.677845893627142</v>
      </c>
      <c r="AH45" s="3">
        <v>9.1025718557484758</v>
      </c>
      <c r="AI45" s="3">
        <v>14.253119931505807</v>
      </c>
      <c r="AJ45" s="3">
        <v>53.06</v>
      </c>
      <c r="AK45" s="3">
        <v>54.506999999999998</v>
      </c>
      <c r="AL45" s="3">
        <v>51.627000000000002</v>
      </c>
    </row>
    <row r="46" spans="1:38" x14ac:dyDescent="0.3">
      <c r="A46" s="2">
        <v>47088</v>
      </c>
      <c r="B46" s="1"/>
      <c r="C46" s="1"/>
      <c r="D46" s="1"/>
      <c r="E46" s="1"/>
      <c r="F46" s="1"/>
      <c r="H46" s="1"/>
      <c r="I46">
        <v>0</v>
      </c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V46" s="1"/>
      <c r="Z46" s="1"/>
      <c r="AA46" s="1"/>
      <c r="AB46">
        <v>2028</v>
      </c>
      <c r="AC46" t="s">
        <v>67</v>
      </c>
      <c r="AD46" s="3">
        <v>2382.0064851076236</v>
      </c>
      <c r="AE46" s="3">
        <v>85.132128716031275</v>
      </c>
      <c r="AF46" s="3">
        <v>4678.8808414992163</v>
      </c>
      <c r="AG46" s="3">
        <v>11.703700132253108</v>
      </c>
      <c r="AH46" s="3">
        <v>8.9578343170095103</v>
      </c>
      <c r="AI46" s="3">
        <v>14.449565947496705</v>
      </c>
      <c r="AJ46" s="3">
        <v>52.853000000000002</v>
      </c>
      <c r="AK46" s="3">
        <v>54.338000000000001</v>
      </c>
      <c r="AL46" s="3">
        <v>51.383000000000003</v>
      </c>
    </row>
    <row r="47" spans="1:38" x14ac:dyDescent="0.3">
      <c r="A47" s="2">
        <v>47453</v>
      </c>
      <c r="B47" s="1"/>
      <c r="C47" s="1"/>
      <c r="D47" s="1"/>
      <c r="E47" s="1"/>
      <c r="F47" s="1"/>
      <c r="H47" s="1"/>
      <c r="I47">
        <v>0</v>
      </c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1"/>
      <c r="Z47" s="1"/>
      <c r="AA47" s="1"/>
      <c r="AB47">
        <v>2029</v>
      </c>
      <c r="AC47" t="s">
        <v>68</v>
      </c>
      <c r="AD47" s="3">
        <v>2356.8659614179551</v>
      </c>
      <c r="AE47" s="3">
        <v>-86.05431046394142</v>
      </c>
      <c r="AF47" s="3">
        <v>4799.786233299852</v>
      </c>
      <c r="AG47" s="3">
        <v>11.728828984883785</v>
      </c>
      <c r="AH47" s="3">
        <v>8.7892421314291074</v>
      </c>
      <c r="AI47" s="3">
        <v>14.668415838338463</v>
      </c>
      <c r="AJ47" s="3">
        <v>52.936</v>
      </c>
      <c r="AK47" s="3">
        <v>54.514000000000003</v>
      </c>
      <c r="AL47" s="3">
        <v>51.375999999999998</v>
      </c>
    </row>
    <row r="48" spans="1:38" x14ac:dyDescent="0.3">
      <c r="A48" s="2">
        <v>47818</v>
      </c>
      <c r="B48" s="1"/>
      <c r="C48" s="1"/>
      <c r="D48" s="1"/>
      <c r="E48" s="1"/>
      <c r="F48" s="1"/>
      <c r="H48" s="1"/>
      <c r="I48">
        <v>0</v>
      </c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1"/>
      <c r="Z48" s="1"/>
      <c r="AA48" s="1"/>
      <c r="AB48">
        <v>2030</v>
      </c>
      <c r="AC48" t="s">
        <v>69</v>
      </c>
      <c r="AD48" s="3">
        <v>2332.4318541307898</v>
      </c>
      <c r="AE48" s="3">
        <v>-248.10541108986763</v>
      </c>
      <c r="AF48" s="3">
        <v>4912.9691193514473</v>
      </c>
      <c r="AG48" s="3">
        <v>11.754410231862456</v>
      </c>
      <c r="AH48" s="3">
        <v>8.6528628847365656</v>
      </c>
      <c r="AI48" s="3">
        <v>14.855957578988347</v>
      </c>
      <c r="AJ48" s="3">
        <v>52.868000000000002</v>
      </c>
      <c r="AK48" s="3">
        <v>54.537999999999997</v>
      </c>
      <c r="AL48" s="3">
        <v>51.218000000000004</v>
      </c>
    </row>
    <row r="49" spans="1:38" x14ac:dyDescent="0.3">
      <c r="A49" s="2"/>
      <c r="B49" s="1"/>
      <c r="C49" s="1"/>
      <c r="D49" s="1"/>
      <c r="E49" s="1"/>
      <c r="F49" s="1"/>
      <c r="H49" s="1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1"/>
      <c r="Z49" s="1"/>
      <c r="AA49" s="1"/>
      <c r="AB49">
        <v>2031</v>
      </c>
      <c r="AC49" t="s">
        <v>70</v>
      </c>
      <c r="AD49" s="3">
        <v>2306.9858399072436</v>
      </c>
      <c r="AE49" s="3">
        <v>-404.55253772423703</v>
      </c>
      <c r="AF49" s="3">
        <v>5018.5242175387248</v>
      </c>
      <c r="AG49" s="3">
        <v>11.77970933850836</v>
      </c>
      <c r="AH49" s="3">
        <v>8.512622482551361</v>
      </c>
      <c r="AI49" s="3">
        <v>15.046796194465358</v>
      </c>
      <c r="AJ49" s="3">
        <v>52.725000000000001</v>
      </c>
      <c r="AK49" s="3">
        <v>54.448</v>
      </c>
      <c r="AL49" s="3">
        <v>51.023000000000003</v>
      </c>
    </row>
    <row r="50" spans="1:38" x14ac:dyDescent="0.3">
      <c r="A50" s="2"/>
      <c r="B50" s="1"/>
      <c r="C50" s="1"/>
      <c r="D50" s="1"/>
      <c r="E50" s="1"/>
      <c r="F50" s="1"/>
      <c r="H50" s="1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1"/>
      <c r="Z50" s="1"/>
      <c r="AA50" s="1"/>
      <c r="AB50">
        <v>2032</v>
      </c>
      <c r="AC50" t="s">
        <v>71</v>
      </c>
      <c r="AD50" s="3">
        <v>2281.9918827247925</v>
      </c>
      <c r="AE50" s="3">
        <v>-554.33689663049017</v>
      </c>
      <c r="AF50" s="3">
        <v>5118.3206620800756</v>
      </c>
      <c r="AG50" s="3">
        <v>11.805184404840158</v>
      </c>
      <c r="AH50" s="3">
        <v>8.3875113105654506</v>
      </c>
      <c r="AI50" s="3">
        <v>15.222857499114866</v>
      </c>
      <c r="AJ50" s="3">
        <v>52.716999999999999</v>
      </c>
      <c r="AK50" s="3">
        <v>54.506999999999998</v>
      </c>
      <c r="AL50" s="3">
        <v>50.95</v>
      </c>
    </row>
    <row r="51" spans="1:38" x14ac:dyDescent="0.3">
      <c r="A51" s="2"/>
      <c r="B51" s="1"/>
      <c r="C51" s="1"/>
      <c r="D51" s="1"/>
      <c r="E51" s="1"/>
      <c r="F51" s="1"/>
      <c r="H51" s="1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1"/>
      <c r="Z51" s="1"/>
      <c r="AA51" s="1"/>
      <c r="AB51">
        <v>2033</v>
      </c>
      <c r="AC51" t="s">
        <v>72</v>
      </c>
      <c r="AD51" s="3">
        <v>2256.9100217404689</v>
      </c>
      <c r="AE51" s="3">
        <v>-698.98115748149667</v>
      </c>
      <c r="AF51" s="3">
        <v>5212.8012009624345</v>
      </c>
      <c r="AG51" s="3">
        <v>11.830549732125586</v>
      </c>
      <c r="AH51" s="3">
        <v>8.2645019814221374</v>
      </c>
      <c r="AI51" s="3">
        <v>15.396597482829035</v>
      </c>
      <c r="AJ51" s="3">
        <v>52.686</v>
      </c>
      <c r="AK51" s="3">
        <v>54.551000000000002</v>
      </c>
      <c r="AL51" s="3">
        <v>50.845999999999997</v>
      </c>
    </row>
    <row r="52" spans="1:38" x14ac:dyDescent="0.3">
      <c r="B52" s="1"/>
      <c r="C52" s="1"/>
      <c r="D52" s="1"/>
      <c r="E52" s="1"/>
      <c r="F52" s="1"/>
      <c r="H52" s="1"/>
      <c r="I52" s="1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1"/>
      <c r="Z52" s="1"/>
      <c r="AA52" s="1"/>
      <c r="AB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3">
      <c r="B53" s="1"/>
      <c r="C53" s="1"/>
      <c r="D53" s="1"/>
      <c r="E53" s="1"/>
      <c r="F53" s="1"/>
      <c r="H53" s="1"/>
      <c r="I53" s="1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1"/>
      <c r="Z53" s="1"/>
      <c r="AA53" s="1"/>
      <c r="AB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3">
      <c r="B54" s="1"/>
      <c r="C54" s="1"/>
      <c r="D54" s="1"/>
      <c r="E54" s="1"/>
      <c r="F54" s="1"/>
      <c r="H54" s="1"/>
      <c r="I54" s="1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1"/>
      <c r="Z54" s="1"/>
      <c r="AA54" s="1"/>
      <c r="AB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3">
      <c r="B55" s="1"/>
      <c r="C55" s="1"/>
      <c r="D55" s="1"/>
      <c r="E55" s="1"/>
      <c r="F55" s="1"/>
      <c r="H55" s="1"/>
      <c r="I55" s="1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1"/>
      <c r="Z55" s="1"/>
      <c r="AA55" s="1"/>
      <c r="AB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">
      <c r="B56" s="1"/>
      <c r="C56" s="1"/>
      <c r="D56" s="1"/>
      <c r="E56" s="1"/>
      <c r="F56" s="1"/>
      <c r="H56" s="1"/>
      <c r="I56" s="1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1"/>
      <c r="Z56" s="1"/>
      <c r="AA56" s="1"/>
      <c r="AB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">
      <c r="B57" s="1"/>
      <c r="C57" s="1"/>
      <c r="D57" s="1"/>
      <c r="E57" s="1"/>
      <c r="F57" s="1"/>
      <c r="H57" s="1"/>
      <c r="I57" s="1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1"/>
      <c r="Z57" s="1"/>
      <c r="AA57" s="1"/>
      <c r="AB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">
      <c r="B58" s="1"/>
      <c r="C58" s="1"/>
      <c r="D58" s="1"/>
      <c r="E58" s="1"/>
      <c r="F58" s="1"/>
      <c r="H58" s="1"/>
      <c r="I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1"/>
      <c r="Z58" s="1"/>
      <c r="AA58" s="1"/>
      <c r="AB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">
      <c r="B59" s="1"/>
      <c r="C59" s="1"/>
      <c r="D59" s="1"/>
      <c r="E59" s="1"/>
      <c r="F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Z59" s="1"/>
      <c r="AA59" s="1"/>
      <c r="AB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3">
      <c r="B60" s="1"/>
      <c r="C60" s="1"/>
      <c r="D60" s="1"/>
      <c r="E60" s="1"/>
      <c r="F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Z60" s="1"/>
      <c r="AA60" s="1"/>
      <c r="AB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3">
      <c r="B61" s="1"/>
      <c r="C61" s="1"/>
      <c r="D61" s="1"/>
      <c r="E61" s="1"/>
      <c r="F61" s="1"/>
      <c r="H61" s="1"/>
      <c r="I61" s="1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1"/>
      <c r="Z61" s="1"/>
      <c r="AA61" s="1"/>
      <c r="AB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3">
      <c r="B62" s="1"/>
      <c r="C62" s="1"/>
      <c r="D62" s="1"/>
      <c r="E62" s="1"/>
      <c r="F62" s="1"/>
      <c r="H62" s="1"/>
      <c r="I62" s="1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1"/>
      <c r="Z62" s="1"/>
      <c r="AA62" s="1"/>
      <c r="AB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"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1"/>
      <c r="Z63" s="1"/>
      <c r="AA63" s="1"/>
      <c r="AB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">
      <c r="B64" s="1"/>
      <c r="C64" s="1"/>
      <c r="D64" s="1"/>
      <c r="E64" s="1"/>
      <c r="F64" s="1"/>
      <c r="H64" s="1"/>
      <c r="I64" s="1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1"/>
      <c r="Z64" s="1"/>
      <c r="AA64" s="1"/>
      <c r="AB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3">
      <c r="B65" s="1"/>
      <c r="C65" s="1"/>
      <c r="D65" s="1"/>
      <c r="E65" s="1"/>
      <c r="F65" s="1"/>
      <c r="H65" s="1"/>
      <c r="I65" s="1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1"/>
      <c r="Z65" s="1"/>
      <c r="AA65" s="1"/>
      <c r="AB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3"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1"/>
      <c r="Z66" s="1"/>
      <c r="AA66" s="1"/>
      <c r="AB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3"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V67" s="1"/>
      <c r="Z67" s="1"/>
      <c r="AA67" s="1"/>
      <c r="AB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3">
      <c r="B68" s="1"/>
      <c r="C68" s="1"/>
      <c r="D68" s="1"/>
      <c r="E68" s="1"/>
      <c r="F68" s="1"/>
      <c r="H68" s="1"/>
      <c r="I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V68" s="1"/>
      <c r="Z68" s="1"/>
      <c r="AA68" s="1"/>
      <c r="AB68" s="1"/>
      <c r="AD68" s="1"/>
      <c r="AE68" s="1"/>
      <c r="AF68" s="1"/>
      <c r="AG68" s="1"/>
      <c r="AH68" s="1"/>
      <c r="AI68" s="1"/>
      <c r="AJ68" s="1"/>
      <c r="AK68" s="1"/>
      <c r="AL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E3DE-1FC4-4DDC-94A6-C9D478C2D07C}">
  <dimension ref="A1:H48"/>
  <sheetViews>
    <sheetView topLeftCell="B30" zoomScale="140" workbookViewId="0">
      <selection activeCell="F43" sqref="F43"/>
    </sheetView>
  </sheetViews>
  <sheetFormatPr baseColWidth="10" defaultRowHeight="14.4" x14ac:dyDescent="0.3"/>
  <cols>
    <col min="2" max="2" width="19.77734375" bestFit="1" customWidth="1"/>
    <col min="3" max="3" width="25.6640625" bestFit="1" customWidth="1"/>
    <col min="4" max="4" width="30.77734375" bestFit="1" customWidth="1"/>
    <col min="5" max="5" width="19.664062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</row>
    <row r="2" spans="1:8" x14ac:dyDescent="0.3">
      <c r="A2" s="2">
        <v>31017</v>
      </c>
      <c r="B2">
        <v>44.99</v>
      </c>
      <c r="C2">
        <v>6.0833333333333304</v>
      </c>
      <c r="D2">
        <v>14.35</v>
      </c>
      <c r="E2">
        <v>1566.7</v>
      </c>
      <c r="F2" s="3">
        <v>-0.49199999999999999</v>
      </c>
      <c r="G2" t="s">
        <v>19</v>
      </c>
    </row>
    <row r="3" spans="1:8" x14ac:dyDescent="0.3">
      <c r="A3" s="2">
        <v>31382</v>
      </c>
      <c r="B3">
        <v>45.13</v>
      </c>
      <c r="C3">
        <v>6.8583333333333298</v>
      </c>
      <c r="D3">
        <v>15.033333333333333</v>
      </c>
      <c r="E3">
        <v>1743.0000000000002</v>
      </c>
      <c r="F3" s="3">
        <v>-0.6</v>
      </c>
      <c r="G3" t="s">
        <v>20</v>
      </c>
      <c r="H3">
        <f>B3-B2</f>
        <v>0.14000000000000057</v>
      </c>
    </row>
    <row r="4" spans="1:8" x14ac:dyDescent="0.3">
      <c r="A4" s="2">
        <v>31747</v>
      </c>
      <c r="B4">
        <v>45.75</v>
      </c>
      <c r="C4">
        <v>6.4</v>
      </c>
      <c r="D4">
        <v>14.649999999999999</v>
      </c>
      <c r="E4">
        <v>1641.2</v>
      </c>
      <c r="F4" s="3">
        <v>0.24199999999999999</v>
      </c>
      <c r="G4" t="s">
        <v>19</v>
      </c>
      <c r="H4">
        <f t="shared" ref="H4:H38" si="0">B4-B3</f>
        <v>0.61999999999999744</v>
      </c>
    </row>
    <row r="5" spans="1:8" x14ac:dyDescent="0.3">
      <c r="A5" s="2">
        <v>32112</v>
      </c>
      <c r="B5">
        <v>44.35</v>
      </c>
      <c r="C5">
        <v>6.7166666666666703</v>
      </c>
      <c r="D5">
        <v>15.366666666666665</v>
      </c>
      <c r="E5">
        <v>1424.8999999999999</v>
      </c>
      <c r="F5" s="3">
        <v>1.2749999999999999</v>
      </c>
      <c r="G5" t="s">
        <v>24</v>
      </c>
      <c r="H5">
        <f t="shared" si="0"/>
        <v>-1.3999999999999986</v>
      </c>
    </row>
    <row r="6" spans="1:8" x14ac:dyDescent="0.3">
      <c r="A6" s="2">
        <v>32478</v>
      </c>
      <c r="B6">
        <v>44.58</v>
      </c>
      <c r="C6">
        <v>5.875</v>
      </c>
      <c r="D6">
        <v>14.783333333333333</v>
      </c>
      <c r="E6">
        <v>1272.5000000000002</v>
      </c>
      <c r="F6" s="3">
        <v>-0.81699999999999995</v>
      </c>
      <c r="G6" t="s">
        <v>20</v>
      </c>
      <c r="H6">
        <f t="shared" si="0"/>
        <v>0.22999999999999687</v>
      </c>
    </row>
    <row r="7" spans="1:8" x14ac:dyDescent="0.3">
      <c r="A7" s="2">
        <v>32843</v>
      </c>
      <c r="B7">
        <v>43.44</v>
      </c>
      <c r="C7">
        <v>6.56666666666667</v>
      </c>
      <c r="D7">
        <v>15.058333333333335</v>
      </c>
      <c r="E7">
        <v>1491.4999999999998</v>
      </c>
      <c r="F7" s="3">
        <v>-0.60799999999999998</v>
      </c>
      <c r="G7" t="s">
        <v>20</v>
      </c>
      <c r="H7">
        <f t="shared" si="0"/>
        <v>-1.1400000000000006</v>
      </c>
    </row>
    <row r="8" spans="1:8" x14ac:dyDescent="0.3">
      <c r="A8" s="2">
        <v>33208</v>
      </c>
      <c r="B8">
        <v>44.09</v>
      </c>
      <c r="C8">
        <v>6.1</v>
      </c>
      <c r="D8">
        <v>14.674999999999999</v>
      </c>
      <c r="E8">
        <v>1712.0000000000002</v>
      </c>
      <c r="F8" s="3">
        <v>0.308</v>
      </c>
      <c r="G8" t="s">
        <v>19</v>
      </c>
      <c r="H8">
        <f t="shared" si="0"/>
        <v>0.65000000000000568</v>
      </c>
    </row>
    <row r="9" spans="1:8" x14ac:dyDescent="0.3">
      <c r="A9" s="2">
        <v>33573</v>
      </c>
      <c r="B9">
        <v>44.09</v>
      </c>
      <c r="C9">
        <v>6.06666666666667</v>
      </c>
      <c r="D9">
        <v>14.450000000000003</v>
      </c>
      <c r="E9">
        <v>1745</v>
      </c>
      <c r="F9" s="3">
        <v>0.64200000000000002</v>
      </c>
      <c r="G9" t="s">
        <v>29</v>
      </c>
      <c r="H9">
        <f t="shared" si="0"/>
        <v>0</v>
      </c>
    </row>
    <row r="10" spans="1:8" x14ac:dyDescent="0.3">
      <c r="A10" s="2">
        <v>33939</v>
      </c>
      <c r="B10">
        <v>44.17</v>
      </c>
      <c r="C10">
        <v>5.9</v>
      </c>
      <c r="D10">
        <v>14.508333333333331</v>
      </c>
      <c r="E10">
        <v>1974.2</v>
      </c>
      <c r="F10" s="3">
        <v>0.64200000000000002</v>
      </c>
      <c r="G10" t="s">
        <v>29</v>
      </c>
      <c r="H10">
        <f t="shared" si="0"/>
        <v>7.9999999999998295E-2</v>
      </c>
    </row>
    <row r="11" spans="1:8" x14ac:dyDescent="0.3">
      <c r="A11" s="2">
        <v>34304</v>
      </c>
      <c r="B11">
        <v>44.15</v>
      </c>
      <c r="C11">
        <v>6.05</v>
      </c>
      <c r="D11">
        <v>14.925000000000002</v>
      </c>
      <c r="E11">
        <v>1811.7000000000005</v>
      </c>
      <c r="F11" s="3">
        <v>0.32500000000000001</v>
      </c>
      <c r="G11" t="s">
        <v>19</v>
      </c>
      <c r="H11">
        <f t="shared" si="0"/>
        <v>-2.0000000000003126E-2</v>
      </c>
    </row>
    <row r="12" spans="1:8" x14ac:dyDescent="0.3">
      <c r="A12" s="2">
        <v>34669</v>
      </c>
      <c r="B12">
        <v>44.21</v>
      </c>
      <c r="C12">
        <v>6.4583333333333304</v>
      </c>
      <c r="D12">
        <v>15.233333333333334</v>
      </c>
      <c r="E12">
        <v>1990.7</v>
      </c>
      <c r="F12" s="3">
        <v>0.47499999999999998</v>
      </c>
      <c r="G12" t="s">
        <v>19</v>
      </c>
      <c r="H12">
        <f t="shared" si="0"/>
        <v>6.0000000000002274E-2</v>
      </c>
    </row>
    <row r="13" spans="1:8" x14ac:dyDescent="0.3">
      <c r="A13" s="2">
        <v>35034</v>
      </c>
      <c r="B13">
        <v>44.21</v>
      </c>
      <c r="C13">
        <v>5.9249999999999998</v>
      </c>
      <c r="D13">
        <v>14.54166666666667</v>
      </c>
      <c r="E13">
        <v>1414</v>
      </c>
      <c r="F13" s="3">
        <v>-0.158</v>
      </c>
      <c r="G13" t="s">
        <v>19</v>
      </c>
      <c r="H13">
        <f t="shared" si="0"/>
        <v>0</v>
      </c>
    </row>
    <row r="14" spans="1:8" x14ac:dyDescent="0.3">
      <c r="A14" s="2">
        <v>35400</v>
      </c>
      <c r="B14">
        <v>44.21</v>
      </c>
      <c r="C14">
        <v>6.06666666666667</v>
      </c>
      <c r="D14">
        <v>14.91666666666667</v>
      </c>
      <c r="E14">
        <v>1298.5999999999999</v>
      </c>
      <c r="F14" s="3">
        <v>-0.46700000000000003</v>
      </c>
      <c r="G14" t="s">
        <v>19</v>
      </c>
      <c r="H14">
        <f t="shared" si="0"/>
        <v>0</v>
      </c>
    </row>
    <row r="15" spans="1:8" x14ac:dyDescent="0.3">
      <c r="A15" s="2">
        <v>35765</v>
      </c>
      <c r="B15">
        <v>44.51</v>
      </c>
      <c r="C15">
        <v>6.6666666666666696</v>
      </c>
      <c r="D15">
        <v>15.183333333333332</v>
      </c>
      <c r="E15">
        <v>2023.8000000000002</v>
      </c>
      <c r="F15" s="3">
        <v>1.167</v>
      </c>
      <c r="G15" t="s">
        <v>24</v>
      </c>
      <c r="H15">
        <f t="shared" si="0"/>
        <v>0.29999999999999716</v>
      </c>
    </row>
    <row r="16" spans="1:8" x14ac:dyDescent="0.3">
      <c r="A16" s="2">
        <v>36130</v>
      </c>
      <c r="B16">
        <v>44.5</v>
      </c>
      <c r="C16">
        <v>6.5083333333333302</v>
      </c>
      <c r="D16">
        <v>15.925000000000002</v>
      </c>
      <c r="E16">
        <v>1050.0999999999999</v>
      </c>
      <c r="F16" s="3">
        <v>-6.7000000000000004E-2</v>
      </c>
      <c r="G16" t="s">
        <v>19</v>
      </c>
      <c r="H16">
        <f t="shared" si="0"/>
        <v>-9.9999999999980105E-3</v>
      </c>
    </row>
    <row r="17" spans="1:8" x14ac:dyDescent="0.3">
      <c r="A17" s="2">
        <v>36495</v>
      </c>
      <c r="B17">
        <v>44.36</v>
      </c>
      <c r="C17">
        <v>5.8250000000000002</v>
      </c>
      <c r="D17">
        <v>15.191666666666668</v>
      </c>
      <c r="E17">
        <v>1344</v>
      </c>
      <c r="F17" s="3">
        <v>-1.2330000000000001</v>
      </c>
      <c r="G17" t="s">
        <v>20</v>
      </c>
      <c r="H17">
        <f t="shared" si="0"/>
        <v>-0.14000000000000057</v>
      </c>
    </row>
    <row r="18" spans="1:8" x14ac:dyDescent="0.3">
      <c r="A18" s="2">
        <v>36861</v>
      </c>
      <c r="B18">
        <v>46.27</v>
      </c>
      <c r="C18">
        <v>5.9749999999999996</v>
      </c>
      <c r="D18">
        <v>14.566666666666665</v>
      </c>
      <c r="E18">
        <v>1615.2</v>
      </c>
      <c r="F18" s="3">
        <v>-0.82499999999999996</v>
      </c>
      <c r="G18" t="s">
        <v>20</v>
      </c>
      <c r="H18">
        <f t="shared" si="0"/>
        <v>1.9100000000000037</v>
      </c>
    </row>
    <row r="19" spans="1:8" x14ac:dyDescent="0.3">
      <c r="A19" s="2">
        <v>37226</v>
      </c>
      <c r="B19">
        <v>46.41</v>
      </c>
      <c r="C19">
        <v>6.1333333333333302</v>
      </c>
      <c r="D19">
        <v>14.858333333333334</v>
      </c>
      <c r="E19">
        <v>1652.6999999999998</v>
      </c>
      <c r="F19" s="3">
        <v>-0.3</v>
      </c>
      <c r="G19" t="s">
        <v>19</v>
      </c>
      <c r="H19">
        <f t="shared" si="0"/>
        <v>0.13999999999999346</v>
      </c>
    </row>
    <row r="20" spans="1:8" x14ac:dyDescent="0.3">
      <c r="A20" s="2">
        <v>37591</v>
      </c>
      <c r="B20">
        <v>45.58</v>
      </c>
      <c r="C20">
        <v>6.6416666666666702</v>
      </c>
      <c r="D20">
        <v>14.583333333333336</v>
      </c>
      <c r="E20">
        <v>2034.2999999999997</v>
      </c>
      <c r="F20" s="3">
        <v>0.63300000000000001</v>
      </c>
      <c r="G20" t="s">
        <v>29</v>
      </c>
      <c r="H20">
        <f t="shared" si="0"/>
        <v>-0.82999999999999829</v>
      </c>
    </row>
    <row r="21" spans="1:8" x14ac:dyDescent="0.3">
      <c r="A21" s="2">
        <v>37956</v>
      </c>
      <c r="B21">
        <v>47.09</v>
      </c>
      <c r="C21">
        <v>6.4749999999999996</v>
      </c>
      <c r="D21">
        <v>14.975</v>
      </c>
      <c r="E21">
        <v>1411.4</v>
      </c>
      <c r="F21" s="3">
        <v>0.25800000000000001</v>
      </c>
      <c r="G21" t="s">
        <v>19</v>
      </c>
      <c r="H21">
        <f t="shared" si="0"/>
        <v>1.5100000000000051</v>
      </c>
    </row>
    <row r="22" spans="1:8" x14ac:dyDescent="0.3">
      <c r="A22" s="2">
        <v>38322</v>
      </c>
      <c r="B22">
        <v>46.27</v>
      </c>
      <c r="C22">
        <v>6.69166666666667</v>
      </c>
      <c r="D22">
        <v>15.625</v>
      </c>
      <c r="E22">
        <v>1548.4999999999998</v>
      </c>
      <c r="F22" s="3">
        <v>0.45800000000000002</v>
      </c>
      <c r="G22" t="s">
        <v>19</v>
      </c>
      <c r="H22">
        <f t="shared" si="0"/>
        <v>-0.82000000000000028</v>
      </c>
    </row>
    <row r="23" spans="1:8" x14ac:dyDescent="0.3">
      <c r="A23" s="2">
        <v>38687</v>
      </c>
      <c r="B23">
        <v>45.2</v>
      </c>
      <c r="C23">
        <v>6.31666666666667</v>
      </c>
      <c r="D23">
        <v>14.79166666666667</v>
      </c>
      <c r="E23">
        <v>1685.8000000000002</v>
      </c>
      <c r="F23" s="3">
        <v>3.3000000000000002E-2</v>
      </c>
      <c r="G23" t="s">
        <v>19</v>
      </c>
      <c r="H23">
        <f t="shared" si="0"/>
        <v>-1.0700000000000003</v>
      </c>
    </row>
    <row r="24" spans="1:8" x14ac:dyDescent="0.3">
      <c r="A24" s="2">
        <v>39052</v>
      </c>
      <c r="B24">
        <v>46.98</v>
      </c>
      <c r="C24">
        <v>6.3250000000000002</v>
      </c>
      <c r="D24">
        <v>15.025</v>
      </c>
      <c r="E24">
        <v>1920.7</v>
      </c>
      <c r="F24" s="3">
        <v>5.8000000000000003E-2</v>
      </c>
      <c r="G24" t="s">
        <v>19</v>
      </c>
      <c r="H24">
        <f t="shared" si="0"/>
        <v>1.779999999999994</v>
      </c>
    </row>
    <row r="25" spans="1:8" x14ac:dyDescent="0.3">
      <c r="A25" s="2">
        <v>39417</v>
      </c>
      <c r="B25">
        <v>45.35</v>
      </c>
      <c r="C25">
        <v>5.6166666666666698</v>
      </c>
      <c r="D25">
        <v>14.341666666666667</v>
      </c>
      <c r="E25">
        <v>1245.6000000000001</v>
      </c>
      <c r="F25" s="3">
        <v>-0.60799999999999998</v>
      </c>
      <c r="G25" t="s">
        <v>20</v>
      </c>
      <c r="H25">
        <f t="shared" si="0"/>
        <v>-1.6299999999999955</v>
      </c>
    </row>
    <row r="26" spans="1:8" x14ac:dyDescent="0.3">
      <c r="A26" s="2">
        <v>39783</v>
      </c>
      <c r="B26">
        <v>43.71</v>
      </c>
      <c r="C26">
        <v>6.4583333333333304</v>
      </c>
      <c r="D26">
        <v>16.016666666666666</v>
      </c>
      <c r="E26">
        <v>1591.3</v>
      </c>
      <c r="F26" s="3">
        <v>-0.77500000000000002</v>
      </c>
      <c r="G26" t="s">
        <v>20</v>
      </c>
      <c r="H26">
        <f t="shared" si="0"/>
        <v>-1.6400000000000006</v>
      </c>
    </row>
    <row r="27" spans="1:8" x14ac:dyDescent="0.3">
      <c r="A27" s="2">
        <v>40148</v>
      </c>
      <c r="B27">
        <v>44.7</v>
      </c>
      <c r="C27">
        <v>6.1749999999999998</v>
      </c>
      <c r="D27">
        <v>14.75</v>
      </c>
      <c r="E27">
        <v>1618.6999999999998</v>
      </c>
      <c r="F27" s="3">
        <v>0.3</v>
      </c>
      <c r="G27" t="s">
        <v>19</v>
      </c>
      <c r="H27">
        <f t="shared" si="0"/>
        <v>0.99000000000000199</v>
      </c>
    </row>
    <row r="28" spans="1:8" x14ac:dyDescent="0.3">
      <c r="A28" s="2">
        <v>40513</v>
      </c>
      <c r="B28">
        <v>45.13</v>
      </c>
      <c r="C28">
        <v>6.0833333333333304</v>
      </c>
      <c r="D28">
        <v>14.483333333333333</v>
      </c>
      <c r="E28">
        <v>1293.1999999999998</v>
      </c>
      <c r="F28" s="3">
        <v>-0.47499999999999998</v>
      </c>
      <c r="G28" t="s">
        <v>19</v>
      </c>
      <c r="H28">
        <f t="shared" si="0"/>
        <v>0.42999999999999972</v>
      </c>
    </row>
    <row r="29" spans="1:8" x14ac:dyDescent="0.3">
      <c r="A29" s="2">
        <v>40878</v>
      </c>
      <c r="B29">
        <v>43.65</v>
      </c>
      <c r="C29">
        <v>6.0333333333333297</v>
      </c>
      <c r="D29">
        <v>14.883333333333333</v>
      </c>
      <c r="E29">
        <v>1680.4999999999998</v>
      </c>
      <c r="F29" s="3">
        <v>-0.85</v>
      </c>
      <c r="G29" t="s">
        <v>20</v>
      </c>
      <c r="H29">
        <f t="shared" si="0"/>
        <v>-1.480000000000004</v>
      </c>
    </row>
    <row r="30" spans="1:8" x14ac:dyDescent="0.3">
      <c r="A30" s="2">
        <v>41244</v>
      </c>
      <c r="B30">
        <v>44.8</v>
      </c>
      <c r="C30">
        <v>6.0416666666666696</v>
      </c>
      <c r="D30">
        <v>14.808333333333332</v>
      </c>
      <c r="E30">
        <v>1526.7</v>
      </c>
      <c r="F30" s="3">
        <v>-0.15</v>
      </c>
      <c r="G30" t="s">
        <v>19</v>
      </c>
      <c r="H30">
        <f t="shared" si="0"/>
        <v>1.1499999999999986</v>
      </c>
    </row>
    <row r="31" spans="1:8" x14ac:dyDescent="0.3">
      <c r="A31" s="2">
        <v>41609</v>
      </c>
      <c r="B31">
        <v>44.44</v>
      </c>
      <c r="C31">
        <v>6.5250000000000004</v>
      </c>
      <c r="D31">
        <v>15.383333333333333</v>
      </c>
      <c r="E31">
        <v>1595.4</v>
      </c>
      <c r="F31" s="3">
        <v>-0.32500000000000001</v>
      </c>
      <c r="G31" t="s">
        <v>19</v>
      </c>
      <c r="H31">
        <f t="shared" si="0"/>
        <v>-0.35999999999999943</v>
      </c>
    </row>
    <row r="32" spans="1:8" x14ac:dyDescent="0.3">
      <c r="A32" s="2">
        <v>41974</v>
      </c>
      <c r="B32">
        <v>44.25</v>
      </c>
      <c r="C32">
        <v>6.43333333333333</v>
      </c>
      <c r="D32">
        <v>14.75</v>
      </c>
      <c r="E32">
        <v>1507.8</v>
      </c>
      <c r="F32" s="3">
        <v>0.108</v>
      </c>
      <c r="G32" t="s">
        <v>19</v>
      </c>
      <c r="H32">
        <f t="shared" si="0"/>
        <v>-0.18999999999999773</v>
      </c>
    </row>
    <row r="33" spans="1:8" x14ac:dyDescent="0.3">
      <c r="A33" s="2">
        <v>42339</v>
      </c>
      <c r="B33">
        <v>44.57</v>
      </c>
      <c r="C33">
        <v>6.5750000000000002</v>
      </c>
      <c r="D33">
        <v>15.475</v>
      </c>
      <c r="E33">
        <v>1432.9</v>
      </c>
      <c r="F33" s="3">
        <v>1.458</v>
      </c>
      <c r="G33" t="s">
        <v>24</v>
      </c>
      <c r="H33">
        <f t="shared" si="0"/>
        <v>0.32000000000000028</v>
      </c>
    </row>
    <row r="34" spans="1:8" x14ac:dyDescent="0.3">
      <c r="A34" s="2">
        <v>42705</v>
      </c>
      <c r="B34">
        <v>44.33</v>
      </c>
      <c r="C34">
        <v>6.2249999999999996</v>
      </c>
      <c r="D34">
        <v>16.233333333333334</v>
      </c>
      <c r="E34">
        <v>963.80000000000007</v>
      </c>
      <c r="F34" s="3">
        <v>0.32500000000000001</v>
      </c>
      <c r="G34" t="s">
        <v>19</v>
      </c>
      <c r="H34">
        <f t="shared" si="0"/>
        <v>-0.24000000000000199</v>
      </c>
    </row>
    <row r="35" spans="1:8" x14ac:dyDescent="0.3">
      <c r="A35" s="2">
        <v>43070</v>
      </c>
      <c r="B35">
        <v>45.5</v>
      </c>
      <c r="C35">
        <v>6.55833333333333</v>
      </c>
      <c r="D35">
        <v>15.133333333333333</v>
      </c>
      <c r="E35">
        <v>1784.0000000000002</v>
      </c>
      <c r="F35" s="3">
        <v>-0.20799999999999999</v>
      </c>
      <c r="G35" t="s">
        <v>19</v>
      </c>
      <c r="H35">
        <f t="shared" si="0"/>
        <v>1.1700000000000017</v>
      </c>
    </row>
    <row r="36" spans="1:8" x14ac:dyDescent="0.3">
      <c r="A36" s="2">
        <v>43435</v>
      </c>
      <c r="B36">
        <v>45.55</v>
      </c>
      <c r="C36">
        <v>5.9583333333333304</v>
      </c>
      <c r="D36">
        <v>15.025</v>
      </c>
      <c r="E36">
        <v>1441.5999999999997</v>
      </c>
      <c r="F36" s="3">
        <v>8.0000000000000002E-3</v>
      </c>
      <c r="G36" t="s">
        <v>19</v>
      </c>
      <c r="H36">
        <f t="shared" si="0"/>
        <v>4.9999999999997158E-2</v>
      </c>
    </row>
    <row r="37" spans="1:8" x14ac:dyDescent="0.3">
      <c r="A37" s="2">
        <v>43800</v>
      </c>
      <c r="B37">
        <v>45.29</v>
      </c>
      <c r="C37">
        <v>5.81666666666667</v>
      </c>
      <c r="D37">
        <v>14.916666666666664</v>
      </c>
      <c r="E37">
        <v>1127.2</v>
      </c>
      <c r="F37" s="3">
        <v>0.47499999999999998</v>
      </c>
      <c r="G37" t="s">
        <v>19</v>
      </c>
      <c r="H37">
        <f t="shared" si="0"/>
        <v>-0.25999999999999801</v>
      </c>
    </row>
    <row r="38" spans="1:8" x14ac:dyDescent="0.3">
      <c r="A38" s="2">
        <v>44166</v>
      </c>
      <c r="B38">
        <v>46.22</v>
      </c>
      <c r="C38">
        <v>6.25</v>
      </c>
      <c r="D38">
        <v>15.083333333333336</v>
      </c>
      <c r="E38">
        <v>1352</v>
      </c>
      <c r="F38" s="3">
        <v>-0.36699999999999999</v>
      </c>
      <c r="G38" t="s">
        <v>19</v>
      </c>
      <c r="H38">
        <f t="shared" si="0"/>
        <v>0.92999999999999972</v>
      </c>
    </row>
    <row r="39" spans="1:8" x14ac:dyDescent="0.3">
      <c r="A39" s="2">
        <v>44531</v>
      </c>
      <c r="B39">
        <v>45.86</v>
      </c>
      <c r="C39">
        <v>6.4166666666666696</v>
      </c>
      <c r="D39">
        <v>15.658333333333333</v>
      </c>
      <c r="E39">
        <v>921.7</v>
      </c>
      <c r="F39" s="3">
        <v>-0.72499999999999998</v>
      </c>
      <c r="G39" t="s">
        <v>20</v>
      </c>
    </row>
    <row r="40" spans="1:8" x14ac:dyDescent="0.3">
      <c r="A40" s="2">
        <v>44896</v>
      </c>
      <c r="B40">
        <v>46.54</v>
      </c>
      <c r="C40">
        <v>5.85</v>
      </c>
      <c r="D40">
        <v>14.949999999999998</v>
      </c>
      <c r="E40">
        <v>1279.5999999999999</v>
      </c>
      <c r="F40" s="3">
        <v>-0.94199999999999995</v>
      </c>
      <c r="G40" t="s">
        <v>20</v>
      </c>
    </row>
    <row r="41" spans="1:8" x14ac:dyDescent="0.3">
      <c r="A41" s="2">
        <v>45261</v>
      </c>
      <c r="C41">
        <v>6.0333333333333297</v>
      </c>
      <c r="D41">
        <v>14.749999999999998</v>
      </c>
      <c r="E41">
        <v>1313</v>
      </c>
      <c r="F41" s="3">
        <v>0.83299999999999996</v>
      </c>
      <c r="G41" t="s">
        <v>29</v>
      </c>
    </row>
    <row r="42" spans="1:8" x14ac:dyDescent="0.3">
      <c r="A42" s="2">
        <v>45627</v>
      </c>
      <c r="C42">
        <v>6.83</v>
      </c>
      <c r="D42">
        <v>14.667</v>
      </c>
      <c r="E42">
        <v>1158.5999999999999</v>
      </c>
      <c r="F42" s="3">
        <v>0.35</v>
      </c>
      <c r="G42" t="s">
        <v>29</v>
      </c>
    </row>
    <row r="43" spans="1:8" x14ac:dyDescent="0.3">
      <c r="A43" s="2">
        <v>45992</v>
      </c>
      <c r="F43" s="3"/>
    </row>
    <row r="44" spans="1:8" x14ac:dyDescent="0.3">
      <c r="A44" s="2">
        <v>46357</v>
      </c>
    </row>
    <row r="45" spans="1:8" x14ac:dyDescent="0.3">
      <c r="A45" s="2">
        <v>46722</v>
      </c>
    </row>
    <row r="46" spans="1:8" x14ac:dyDescent="0.3">
      <c r="A46" s="2">
        <v>47088</v>
      </c>
    </row>
    <row r="47" spans="1:8" x14ac:dyDescent="0.3">
      <c r="A47" s="2">
        <v>47453</v>
      </c>
    </row>
    <row r="48" spans="1:8" x14ac:dyDescent="0.3">
      <c r="A48" s="2">
        <v>47818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LAGO CABURGUA</vt:lpstr>
      <vt:lpstr>DATOS LAGO CHAPO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Raúl Frugone Zaror</cp:lastModifiedBy>
  <dcterms:created xsi:type="dcterms:W3CDTF">2011-08-01T14:22:18Z</dcterms:created>
  <dcterms:modified xsi:type="dcterms:W3CDTF">2025-06-10T16:48:41Z</dcterms:modified>
</cp:coreProperties>
</file>